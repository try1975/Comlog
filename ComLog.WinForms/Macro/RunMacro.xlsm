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915" yWindow="225" windowWidth="26565" windowHeight="10140" activeTab="3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8"/>
  <definedNames>
    <definedName name="CHF_NAME">MS_Daily!$D$6</definedName>
    <definedName name="CHF_PMRQ">MS_Daily!$L$15</definedName>
    <definedName name="CHF_RATE">MS_Daily!$I$6</definedName>
    <definedName name="CHF_RATE_P">MS_Daily!$C$6</definedName>
    <definedName name="CHF_REPORT">MS_Daily!$K$15</definedName>
    <definedName name="EUR_NAME">MS_Daily!$D$4</definedName>
    <definedName name="EUR_PMRQ">MS_Daily!$L$13</definedName>
    <definedName name="EUR_RATE">MS_Daily!$I$4</definedName>
    <definedName name="EUR_RATE_P">MS_Daily!$C$4</definedName>
    <definedName name="EUR_REPORT">MS_Daily!$K$13</definedName>
    <definedName name="GBP_NAME">MS_Daily!$D$5</definedName>
    <definedName name="GBP_PMRQ">MS_Daily!$L$14</definedName>
    <definedName name="GBP_RATE">MS_Daily!$I$5</definedName>
    <definedName name="GBP_RATE_P">MS_Daily!$C$5</definedName>
    <definedName name="GBP_REPORT">MS_Daily!$K$14</definedName>
    <definedName name="HKD_NAME">MS_Daily!$D$7</definedName>
    <definedName name="HKD_PMRQ">MS_Daily!$L$16</definedName>
    <definedName name="HKD_RATE">MS_Daily!$I$7</definedName>
    <definedName name="HKD_RATE_P">MS_Daily!$C$7</definedName>
    <definedName name="HKD_REPORT">MS_Daily!$K$16</definedName>
    <definedName name="USD_NAME">MS_Daily!$D$3</definedName>
    <definedName name="USD_PMRQ">MS_Daily!$L$12</definedName>
    <definedName name="USD_REPORT">MS_Daily!$K$12</definedName>
  </definedNames>
  <calcPr calcId="152511"/>
  <fileRecoveryPr autoRecover="0"/>
</workbook>
</file>

<file path=xl/calcChain.xml><?xml version="1.0" encoding="utf-8"?>
<calcChain xmlns="http://schemas.openxmlformats.org/spreadsheetml/2006/main">
  <c r="K16" i="3" l="1"/>
  <c r="K15" i="3"/>
  <c r="K14" i="3"/>
  <c r="K13" i="3"/>
  <c r="K12" i="3"/>
  <c r="K2" i="3" l="1"/>
  <c r="L16" i="3"/>
  <c r="L15" i="3"/>
  <c r="L14" i="3"/>
  <c r="L13" i="3"/>
  <c r="L12" i="3"/>
  <c r="L2" i="3" l="1"/>
  <c r="G16" i="3"/>
  <c r="G15" i="3"/>
  <c r="H6" i="3" s="1"/>
  <c r="G14" i="3"/>
  <c r="G13" i="3"/>
  <c r="G12" i="3"/>
  <c r="E16" i="3"/>
  <c r="E7" i="3" s="1"/>
  <c r="E15" i="3"/>
  <c r="E6" i="3" s="1"/>
  <c r="E14" i="3"/>
  <c r="E5" i="3" s="1"/>
  <c r="E13" i="3"/>
  <c r="E4" i="3" s="1"/>
  <c r="E12" i="3"/>
  <c r="E3" i="3" s="1"/>
  <c r="E2" i="3" l="1"/>
  <c r="I12" i="3"/>
  <c r="H3" i="3"/>
  <c r="F16" i="3"/>
  <c r="F7" i="3" s="1"/>
  <c r="H7" i="3"/>
  <c r="I13" i="3"/>
  <c r="H4" i="3"/>
  <c r="I14" i="3"/>
  <c r="H5" i="3"/>
  <c r="F15" i="3"/>
  <c r="F6" i="3" s="1"/>
  <c r="G6" i="3" s="1"/>
  <c r="F13" i="3"/>
  <c r="F4" i="3" s="1"/>
  <c r="F14" i="3"/>
  <c r="F5" i="3" s="1"/>
  <c r="F12" i="3"/>
  <c r="F3" i="3" s="1"/>
  <c r="H2" i="3" l="1"/>
  <c r="G5" i="3"/>
  <c r="G4" i="3"/>
  <c r="F2" i="3"/>
  <c r="G7" i="3"/>
  <c r="G2" i="3" l="1"/>
</calcChain>
</file>

<file path=xl/sharedStrings.xml><?xml version="1.0" encoding="utf-8"?>
<sst xmlns="http://schemas.openxmlformats.org/spreadsheetml/2006/main" count="297" uniqueCount="104">
  <si>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</si>
  <si>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</si>
  <si>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</si>
  <si>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</si>
  <si>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</si>
  <si>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</si>
  <si>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</si>
  <si>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</si>
  <si>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</si>
  <si>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</si>
  <si>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</si>
  <si>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</si>
  <si>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</si>
  <si>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</si>
  <si>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</si>
  <si>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</si>
  <si>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</si>
  <si>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</si>
  <si>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Ephrem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</si>
  <si>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</si>
  <si>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</si>
  <si>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</si>
  <si>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</si>
  <si>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</si>
  <si>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</si>
  <si>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</si>
  <si>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</si>
  <si>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</si>
  <si>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</si>
  <si>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</si>
  <si>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</si>
  <si>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</si>
  <si>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</si>
  <si>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</si>
  <si>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</si>
  <si>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</si>
  <si>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</si>
  <si>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</si>
  <si>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</si>
  <si>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</si>
  <si>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</si>
  <si>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</si>
  <si>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</si>
  <si>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</si>
  <si>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</si>
  <si>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</si>
  <si>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</si>
  <si>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</si>
  <si>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</si>
  <si>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</si>
  <si>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</si>
  <si>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Business Exp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</si>
  <si>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</si>
  <si>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</si>
  <si>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</si>
  <si>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</si>
  <si>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</si>
  <si>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</si>
  <si>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</si>
  <si>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Marlene</t>
  </si>
  <si>
    <t>Admin - Business Expenses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</si>
  <si>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</si>
  <si>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</si>
  <si>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</si>
  <si>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</si>
  <si>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</si>
  <si>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</si>
  <si>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</si>
  <si>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</si>
  <si>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</si>
  <si>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</si>
  <si>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</si>
  <si>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</si>
  <si>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</si>
  <si>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</si>
  <si>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</si>
  <si>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</si>
  <si>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</si>
  <si>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</si>
  <si>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</si>
  <si>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</si>
  <si>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</si>
  <si>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</si>
  <si>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</si>
  <si>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</si>
  <si>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</si>
  <si>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</si>
  <si>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</si>
  <si>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</si>
  <si>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</si>
  <si>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</si>
  <si>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</si>
  <si>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</si>
  <si>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</si>
  <si>
    <t>Customer Premium - CHF</t>
  </si>
  <si>
    <t>Customer- CHF</t>
  </si>
  <si>
    <t>HKD</t>
  </si>
  <si>
    <t>RATE $</t>
  </si>
  <si>
    <t>Charges</t>
  </si>
  <si>
    <t>Debit/Credit</t>
  </si>
  <si>
    <t>Report</t>
  </si>
  <si>
    <t>PMRQ</t>
  </si>
  <si>
    <t>y</t>
  </si>
  <si>
    <t>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</si>
</sst>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6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DE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5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40" fontId="6" fillId="5" borderId="4" xfId="0" applyNumberFormat="1" applyFont="1" applyFill="1" applyBorder="1" applyAlignment="1">
      <alignment horizontal="center" vertical="center"/>
    </xf>
    <xf numFmtId="40" fontId="6" fillId="5" borderId="5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6" xfId="0" applyNumberFormat="1" applyFont="1" applyFill="1" applyBorder="1" applyAlignment="1">
      <alignment horizontal="right"/>
    </xf>
    <xf numFmtId="165" fontId="6" fillId="5" borderId="7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8" xfId="0" applyNumberFormat="1" applyFont="1" applyFill="1" applyBorder="1"/>
    <xf numFmtId="168" fontId="6" fillId="5" borderId="9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1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0" xfId="0" applyFont="1"/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0" fontId="14" fillId="0" borderId="0" xfId="0" applyFont="1"/>
    <xf numFmtId="166" fontId="15" fillId="0" borderId="0" xfId="1" applyNumberFormat="1" applyFont="1" applyAlignment="1"/>
    <xf numFmtId="0" fontId="16" fillId="10" borderId="0" xfId="0" applyFont="1" applyFill="1" applyAlignment="1">
      <alignment horizontal="center" vertical="center"/>
    </xf>
    <xf numFmtId="0" fontId="14" fillId="0" borderId="3" xfId="0" applyFont="1" applyBorder="1"/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/>
    <xf numFmtId="165" fontId="6" fillId="6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0" fillId="13" borderId="0" xfId="0" applyFont="1" applyFill="1"/>
    <xf numFmtId="165" fontId="6" fillId="13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0" fillId="14" borderId="0" xfId="0" applyFont="1" applyFill="1" applyBorder="1"/>
    <xf numFmtId="165" fontId="6" fillId="14" borderId="0" xfId="0" applyNumberFormat="1" applyFont="1" applyFill="1" applyBorder="1" applyAlignment="1">
      <alignment horizontal="right"/>
    </xf>
    <xf numFmtId="0" fontId="17" fillId="10" borderId="0" xfId="0" applyFont="1" applyFill="1" applyAlignment="1">
      <alignment horizontal="center" vertical="center"/>
    </xf>
    <xf numFmtId="164" fontId="9" fillId="0" borderId="10" xfId="0" applyNumberFormat="1" applyFont="1" applyBorder="1" applyAlignment="1">
      <alignment horizontal="right" indent="1"/>
    </xf>
    <xf numFmtId="0" fontId="0" fillId="0" borderId="0" xfId="0" applyFont="1"/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8" fillId="8" borderId="1" xfId="0" applyNumberFormat="1" applyFont="1" applyFill="1" applyBorder="1" applyAlignment="1">
      <alignment horizontal="right"/>
    </xf>
    <xf numFmtId="169" fontId="18" fillId="8" borderId="3" xfId="0" applyNumberFormat="1" applyFont="1" applyFill="1" applyBorder="1" applyAlignment="1">
      <alignment horizontal="right"/>
    </xf>
    <xf numFmtId="170" fontId="18" fillId="2" borderId="1" xfId="0" applyNumberFormat="1" applyFont="1" applyFill="1" applyBorder="1" applyAlignment="1">
      <alignment horizontal="right"/>
    </xf>
    <xf numFmtId="166" fontId="18" fillId="9" borderId="1" xfId="0" applyNumberFormat="1" applyFont="1" applyFill="1" applyBorder="1" applyAlignment="1">
      <alignment horizontal="right"/>
    </xf>
    <xf numFmtId="0" fontId="0" fillId="0" borderId="0" xfId="0" applyFont="1" applyFill="1" applyBorder="1"/>
  </cellXfs>
  <cellStyles count="3">
    <cellStyle name="Normal" xfId="0" builtinId="0"/>
    <cellStyle name="Normal 2" xfId="2"/>
    <cellStyle name="Normal 4" xfId="1"/>
  </cellStyles>
  <dxfs count="34">
    <dxf>
      <font>
        <strike val="0"/>
        <outline val="0"/>
        <shadow val="0"/>
        <u val="none"/>
        <vertAlign val="baseline"/>
        <sz val="16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152400</xdr:rowOff>
        </xdr:from>
        <xdr:to>
          <xdr:col>0</xdr:col>
          <xdr:colOff>1543050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66675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66675</xdr:rowOff>
        </xdr:from>
        <xdr:to>
          <xdr:col>0</xdr:col>
          <xdr:colOff>1552575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19050</xdr:rowOff>
        </xdr:from>
        <xdr:to>
          <xdr:col>0</xdr:col>
          <xdr:colOff>1543050</xdr:colOff>
          <xdr:row>11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12</xdr:row>
          <xdr:rowOff>19050</xdr:rowOff>
        </xdr:from>
        <xdr:to>
          <xdr:col>0</xdr:col>
          <xdr:colOff>1543050</xdr:colOff>
          <xdr:row>14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3" totalsRowShown="0">
  <autoFilter ref="A1:G33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ashMovementTable" displayName="CashMovementTable" ref="A1:F8" totalsRowShown="0">
  <autoFilter ref="A1:F8"/>
  <tableColumns count="6">
    <tableColumn id="1" name="AccountNumberMalta"/>
    <tableColumn id="2" name="BankComLog"/>
    <tableColumn id="3" name="AccountComlog"/>
    <tableColumn id="4" name="Currency"/>
    <tableColumn id="5" name="TrType"/>
    <tableColumn id="6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MsDailyTable" displayName="MsDailyTable" ref="B19:L28" totalsRowShown="0" headerRowDxfId="23">
  <tableColumns count="11">
    <tableColumn id="1" name="PREVIOUS" dataDxfId="22"/>
    <tableColumn id="2" name="Bank" dataDxfId="21"/>
    <tableColumn id="3" name="Currency" dataDxfId="20"/>
    <tableColumn id="4" name="FromTo" dataDxfId="19"/>
    <tableColumn id="5" name="Description" dataDxfId="18"/>
    <tableColumn id="6" name="Debit/Credit" dataDxfId="17"/>
    <tableColumn id="7" name="Charges" dataDxfId="16"/>
    <tableColumn id="8" name="Σ activity by curr." dataDxfId="15"/>
    <tableColumn id="9" name="BALANCE" dataDxfId="14"/>
    <tableColumn id="10" name="Report" dataDxfId="13"/>
    <tableColumn id="11" name="PMRQ" dataDxfId="12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4" name="ReportY" displayName="ReportY" ref="B4:F13" totalsRowShown="0" headerRowDxfId="6" dataDxfId="5">
  <autoFilter ref="B4:F13"/>
  <tableColumns count="5">
    <tableColumn id="2" name="Bank" dataDxfId="4"/>
    <tableColumn id="3" name="Currency" dataDxfId="3"/>
    <tableColumn id="4" name="FromTo" dataDxfId="2"/>
    <tableColumn id="5" name="Description" dataDxfId="1"/>
    <tableColumn id="6" name="Credit/Debit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2" sqref="B12"/>
    </sheetView>
  </sheetViews>
  <sheetFormatPr defaultColWidth="8.7109375" defaultRowHeight="15" x14ac:dyDescent="0.25"/>
  <cols>
    <col min="1" max="1" width="27.140625" style="25" customWidth="1"/>
    <col min="2" max="16384" width="8.7109375" style="25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257175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257175</xdr:colOff>
                    <xdr:row>6</xdr:row>
                    <xdr:rowOff>66675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66675</xdr:rowOff>
                  </from>
                  <to>
                    <xdr:col>0</xdr:col>
                    <xdr:colOff>1552575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257175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ashListRun">
                <anchor moveWithCells="1">
                  <from>
                    <xdr:col>0</xdr:col>
                    <xdr:colOff>257175</xdr:colOff>
                    <xdr:row>12</xdr:row>
                    <xdr:rowOff>19050</xdr:rowOff>
                  </from>
                  <to>
                    <xdr:col>0</xdr:col>
                    <xdr:colOff>1543050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"/>
  <sheetViews>
    <sheetView workbookViewId="0">
      <selection activeCell="D25" sqref="D25"/>
    </sheetView>
  </sheetViews>
  <sheetFormatPr defaultRowHeight="15" x14ac:dyDescent="0.25"/>
  <cols>
    <col min="1" max="1" width="19.85546875" customWidth="1"/>
    <col min="2" max="2" width="30.85546875" customWidth="1"/>
    <col min="3" max="3" width="14.5703125" customWidth="1"/>
    <col min="4" max="4" width="29.7109375" bestFit="1" customWidth="1"/>
    <col min="5" max="5" width="11" customWidth="1"/>
    <col min="6" max="6" width="20.140625" bestFit="1" customWidth="1"/>
  </cols>
  <sheetData>
    <row r="1" spans="1:7" x14ac:dyDescent="0.25">
      <c r="A1" t="s">
        <v>20</v>
      </c>
      <c r="B1" t="s">
        <v>21</v>
      </c>
      <c r="C1" t="s">
        <v>22</v>
      </c>
      <c r="D1" t="s">
        <v>23</v>
      </c>
      <c r="E1" t="s">
        <v>0</v>
      </c>
      <c r="F1" t="s">
        <v>24</v>
      </c>
      <c r="G1" t="s">
        <v>25</v>
      </c>
    </row>
    <row r="2" spans="1:7" x14ac:dyDescent="0.25">
      <c r="A2" t="s">
        <v>36</v>
      </c>
      <c r="B2" t="s">
        <v>37</v>
      </c>
      <c r="C2" t="s">
        <v>36</v>
      </c>
      <c r="D2" t="s">
        <v>28</v>
      </c>
      <c r="E2" t="s">
        <v>11</v>
      </c>
      <c r="F2" t="s">
        <v>66</v>
      </c>
    </row>
    <row r="3" spans="1:7" x14ac:dyDescent="0.25">
      <c r="A3" t="s">
        <v>36</v>
      </c>
      <c r="B3" t="s">
        <v>37</v>
      </c>
      <c r="C3" t="s">
        <v>36</v>
      </c>
      <c r="D3" t="s">
        <v>28</v>
      </c>
      <c r="E3" t="s">
        <v>38</v>
      </c>
      <c r="F3" t="s">
        <v>66</v>
      </c>
    </row>
    <row r="4" spans="1:7" x14ac:dyDescent="0.25">
      <c r="A4" t="s">
        <v>36</v>
      </c>
      <c r="B4" t="s">
        <v>37</v>
      </c>
      <c r="C4" t="s">
        <v>36</v>
      </c>
      <c r="D4" t="s">
        <v>28</v>
      </c>
      <c r="E4" t="s">
        <v>6</v>
      </c>
      <c r="F4" t="s">
        <v>66</v>
      </c>
    </row>
    <row r="5" spans="1:7" x14ac:dyDescent="0.25">
      <c r="A5" t="s">
        <v>1</v>
      </c>
      <c r="B5" t="s">
        <v>39</v>
      </c>
      <c r="C5" t="s">
        <v>26</v>
      </c>
      <c r="D5" t="s">
        <v>28</v>
      </c>
      <c r="E5" t="s">
        <v>6</v>
      </c>
      <c r="F5" t="s">
        <v>66</v>
      </c>
    </row>
    <row r="6" spans="1:7" x14ac:dyDescent="0.25">
      <c r="A6" t="s">
        <v>1</v>
      </c>
      <c r="B6" t="s">
        <v>40</v>
      </c>
      <c r="C6" t="s">
        <v>26</v>
      </c>
      <c r="D6" t="s">
        <v>28</v>
      </c>
      <c r="E6" t="s">
        <v>11</v>
      </c>
      <c r="F6" t="s">
        <v>66</v>
      </c>
    </row>
    <row r="7" spans="1:7" x14ac:dyDescent="0.25">
      <c r="A7" t="s">
        <v>1</v>
      </c>
      <c r="B7" t="s">
        <v>2</v>
      </c>
      <c r="C7" t="s">
        <v>26</v>
      </c>
      <c r="D7" t="s">
        <v>28</v>
      </c>
      <c r="E7" t="s">
        <v>3</v>
      </c>
      <c r="F7" t="s">
        <v>66</v>
      </c>
    </row>
    <row r="8" spans="1:7" x14ac:dyDescent="0.25">
      <c r="A8" t="s">
        <v>41</v>
      </c>
      <c r="B8" t="s">
        <v>42</v>
      </c>
      <c r="C8" t="s">
        <v>47</v>
      </c>
      <c r="D8" t="s">
        <v>28</v>
      </c>
      <c r="E8" t="s">
        <v>6</v>
      </c>
      <c r="F8" t="s">
        <v>66</v>
      </c>
    </row>
    <row r="9" spans="1:7" x14ac:dyDescent="0.25">
      <c r="A9" t="s">
        <v>41</v>
      </c>
      <c r="B9" t="s">
        <v>43</v>
      </c>
      <c r="C9" t="s">
        <v>47</v>
      </c>
      <c r="D9" t="s">
        <v>46</v>
      </c>
      <c r="E9" t="s">
        <v>6</v>
      </c>
      <c r="F9" t="s">
        <v>66</v>
      </c>
    </row>
    <row r="10" spans="1:7" x14ac:dyDescent="0.25">
      <c r="A10" t="s">
        <v>41</v>
      </c>
      <c r="B10" t="s">
        <v>44</v>
      </c>
      <c r="C10" t="s">
        <v>47</v>
      </c>
      <c r="D10" t="s">
        <v>28</v>
      </c>
      <c r="E10" t="s">
        <v>11</v>
      </c>
      <c r="F10" t="s">
        <v>66</v>
      </c>
    </row>
    <row r="11" spans="1:7" x14ac:dyDescent="0.25">
      <c r="A11" t="s">
        <v>41</v>
      </c>
      <c r="B11" t="s">
        <v>45</v>
      </c>
      <c r="C11" t="s">
        <v>47</v>
      </c>
      <c r="D11" t="s">
        <v>28</v>
      </c>
      <c r="E11" t="s">
        <v>38</v>
      </c>
      <c r="F11" t="s">
        <v>66</v>
      </c>
    </row>
    <row r="12" spans="1:7" x14ac:dyDescent="0.25">
      <c r="A12" t="s">
        <v>48</v>
      </c>
      <c r="B12" t="s">
        <v>49</v>
      </c>
      <c r="C12" t="s">
        <v>27</v>
      </c>
      <c r="D12" t="s">
        <v>48</v>
      </c>
      <c r="E12" t="s">
        <v>6</v>
      </c>
      <c r="F12" t="s">
        <v>66</v>
      </c>
    </row>
    <row r="13" spans="1:7" x14ac:dyDescent="0.25">
      <c r="A13" t="s">
        <v>4</v>
      </c>
      <c r="B13" t="s">
        <v>37</v>
      </c>
      <c r="C13" t="s">
        <v>27</v>
      </c>
      <c r="D13" t="s">
        <v>50</v>
      </c>
      <c r="E13" t="s">
        <v>11</v>
      </c>
      <c r="F13" t="s">
        <v>66</v>
      </c>
    </row>
    <row r="14" spans="1:7" x14ac:dyDescent="0.25">
      <c r="A14" t="s">
        <v>4</v>
      </c>
      <c r="B14" t="s">
        <v>5</v>
      </c>
      <c r="C14" t="s">
        <v>27</v>
      </c>
      <c r="D14" t="s">
        <v>29</v>
      </c>
      <c r="E14" t="s">
        <v>6</v>
      </c>
      <c r="F14" t="s">
        <v>66</v>
      </c>
    </row>
    <row r="15" spans="1:7" x14ac:dyDescent="0.25">
      <c r="A15" t="s">
        <v>4</v>
      </c>
      <c r="B15" t="s">
        <v>51</v>
      </c>
      <c r="C15" t="s">
        <v>27</v>
      </c>
      <c r="D15" t="s">
        <v>60</v>
      </c>
      <c r="E15" t="s">
        <v>6</v>
      </c>
      <c r="F15" t="s">
        <v>66</v>
      </c>
    </row>
    <row r="16" spans="1:7" x14ac:dyDescent="0.25">
      <c r="A16" t="s">
        <v>4</v>
      </c>
      <c r="B16" t="s">
        <v>52</v>
      </c>
      <c r="C16" t="s">
        <v>27</v>
      </c>
      <c r="D16" t="s">
        <v>61</v>
      </c>
      <c r="E16" t="s">
        <v>6</v>
      </c>
      <c r="F16" t="s">
        <v>66</v>
      </c>
    </row>
    <row r="17" spans="1:7" x14ac:dyDescent="0.25">
      <c r="A17" t="s">
        <v>4</v>
      </c>
      <c r="B17" t="s">
        <v>7</v>
      </c>
      <c r="C17" t="s">
        <v>27</v>
      </c>
      <c r="D17" t="s">
        <v>30</v>
      </c>
      <c r="E17" t="s">
        <v>6</v>
      </c>
      <c r="F17" t="s">
        <v>66</v>
      </c>
    </row>
    <row r="18" spans="1:7" x14ac:dyDescent="0.25">
      <c r="A18" t="s">
        <v>4</v>
      </c>
      <c r="B18" t="s">
        <v>8</v>
      </c>
      <c r="C18" t="s">
        <v>27</v>
      </c>
      <c r="D18" t="s">
        <v>31</v>
      </c>
      <c r="E18" t="s">
        <v>6</v>
      </c>
      <c r="F18" t="s">
        <v>66</v>
      </c>
    </row>
    <row r="19" spans="1:7" x14ac:dyDescent="0.25">
      <c r="A19" t="s">
        <v>4</v>
      </c>
      <c r="B19" t="s">
        <v>53</v>
      </c>
      <c r="C19" t="s">
        <v>27</v>
      </c>
      <c r="D19" t="s">
        <v>65</v>
      </c>
      <c r="E19" t="s">
        <v>6</v>
      </c>
      <c r="F19" t="s">
        <v>66</v>
      </c>
    </row>
    <row r="20" spans="1:7" x14ac:dyDescent="0.25">
      <c r="A20" t="s">
        <v>4</v>
      </c>
      <c r="B20" t="s">
        <v>9</v>
      </c>
      <c r="C20" t="s">
        <v>27</v>
      </c>
      <c r="D20" t="s">
        <v>92</v>
      </c>
      <c r="E20" t="s">
        <v>6</v>
      </c>
      <c r="F20" t="s">
        <v>66</v>
      </c>
    </row>
    <row r="21" spans="1:7" x14ac:dyDescent="0.25">
      <c r="A21" t="s">
        <v>4</v>
      </c>
      <c r="B21" t="s">
        <v>54</v>
      </c>
      <c r="C21" t="s">
        <v>27</v>
      </c>
      <c r="D21" t="s">
        <v>62</v>
      </c>
      <c r="E21" t="s">
        <v>6</v>
      </c>
      <c r="F21" t="s">
        <v>66</v>
      </c>
    </row>
    <row r="22" spans="1:7" x14ac:dyDescent="0.25">
      <c r="A22" t="s">
        <v>4</v>
      </c>
      <c r="B22" t="s">
        <v>55</v>
      </c>
      <c r="C22" t="s">
        <v>27</v>
      </c>
      <c r="D22" t="s">
        <v>64</v>
      </c>
      <c r="E22" t="s">
        <v>6</v>
      </c>
      <c r="F22" t="s">
        <v>66</v>
      </c>
    </row>
    <row r="23" spans="1:7" x14ac:dyDescent="0.25">
      <c r="A23" t="s">
        <v>4</v>
      </c>
      <c r="B23" t="s">
        <v>56</v>
      </c>
      <c r="C23" t="s">
        <v>27</v>
      </c>
      <c r="D23" t="s">
        <v>63</v>
      </c>
      <c r="E23" t="s">
        <v>6</v>
      </c>
      <c r="F23" t="s">
        <v>66</v>
      </c>
    </row>
    <row r="24" spans="1:7" x14ac:dyDescent="0.25">
      <c r="A24" t="s">
        <v>4</v>
      </c>
      <c r="B24" t="s">
        <v>10</v>
      </c>
      <c r="C24" t="s">
        <v>35</v>
      </c>
      <c r="D24" t="s">
        <v>10</v>
      </c>
      <c r="E24" t="s">
        <v>11</v>
      </c>
      <c r="F24" t="s">
        <v>66</v>
      </c>
    </row>
    <row r="25" spans="1:7" x14ac:dyDescent="0.25">
      <c r="A25" t="s">
        <v>4</v>
      </c>
      <c r="B25" t="s">
        <v>57</v>
      </c>
      <c r="C25" t="s">
        <v>27</v>
      </c>
      <c r="D25" t="s">
        <v>93</v>
      </c>
      <c r="E25" t="s">
        <v>38</v>
      </c>
      <c r="F25" t="s">
        <v>66</v>
      </c>
    </row>
    <row r="26" spans="1:7" x14ac:dyDescent="0.25">
      <c r="A26" t="s">
        <v>12</v>
      </c>
      <c r="B26" t="s">
        <v>13</v>
      </c>
      <c r="C26" t="s">
        <v>12</v>
      </c>
      <c r="D26" t="s">
        <v>32</v>
      </c>
      <c r="E26" t="s">
        <v>6</v>
      </c>
      <c r="F26" t="s">
        <v>66</v>
      </c>
    </row>
    <row r="27" spans="1:7" x14ac:dyDescent="0.25">
      <c r="A27" t="s">
        <v>14</v>
      </c>
      <c r="B27" t="s">
        <v>58</v>
      </c>
      <c r="C27" t="s">
        <v>14</v>
      </c>
      <c r="D27" t="s">
        <v>58</v>
      </c>
      <c r="E27" t="s">
        <v>6</v>
      </c>
      <c r="F27" t="s">
        <v>66</v>
      </c>
    </row>
    <row r="28" spans="1:7" x14ac:dyDescent="0.25">
      <c r="A28" t="s">
        <v>14</v>
      </c>
      <c r="B28" t="s">
        <v>15</v>
      </c>
      <c r="C28" t="s">
        <v>14</v>
      </c>
      <c r="D28" t="s">
        <v>34</v>
      </c>
      <c r="E28" t="s">
        <v>6</v>
      </c>
      <c r="F28" t="s">
        <v>66</v>
      </c>
    </row>
    <row r="29" spans="1:7" x14ac:dyDescent="0.25">
      <c r="A29" t="s">
        <v>14</v>
      </c>
      <c r="B29" t="s">
        <v>16</v>
      </c>
      <c r="C29" t="s">
        <v>14</v>
      </c>
      <c r="D29" t="s">
        <v>33</v>
      </c>
      <c r="E29" t="s">
        <v>6</v>
      </c>
      <c r="F29" t="s">
        <v>66</v>
      </c>
    </row>
    <row r="30" spans="1:7" x14ac:dyDescent="0.25">
      <c r="A30" t="s">
        <v>17</v>
      </c>
      <c r="B30" t="s">
        <v>18</v>
      </c>
      <c r="E30" t="s">
        <v>6</v>
      </c>
      <c r="G30">
        <v>1</v>
      </c>
    </row>
    <row r="31" spans="1:7" x14ac:dyDescent="0.25">
      <c r="A31" t="s">
        <v>17</v>
      </c>
      <c r="B31" t="s">
        <v>59</v>
      </c>
      <c r="E31" t="s">
        <v>6</v>
      </c>
      <c r="G31">
        <v>1</v>
      </c>
    </row>
    <row r="32" spans="1:7" x14ac:dyDescent="0.25">
      <c r="A32" t="s">
        <v>17</v>
      </c>
      <c r="B32" t="s">
        <v>19</v>
      </c>
      <c r="C32" t="s">
        <v>27</v>
      </c>
      <c r="D32" t="s">
        <v>32</v>
      </c>
      <c r="E32" t="s">
        <v>6</v>
      </c>
      <c r="F32" t="s">
        <v>66</v>
      </c>
    </row>
    <row r="33" spans="1:6" x14ac:dyDescent="0.25">
      <c r="A33" t="s">
        <v>4</v>
      </c>
      <c r="B33" t="s">
        <v>95</v>
      </c>
      <c r="C33" t="s">
        <v>27</v>
      </c>
      <c r="D33" t="s">
        <v>94</v>
      </c>
      <c r="E33" t="s">
        <v>3</v>
      </c>
      <c r="F33" t="s">
        <v>66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14" sqref="E14"/>
    </sheetView>
  </sheetViews>
  <sheetFormatPr defaultRowHeight="15" x14ac:dyDescent="0.25"/>
  <cols>
    <col min="1" max="1" width="22.7109375" customWidth="1"/>
    <col min="2" max="2" width="14.42578125" customWidth="1"/>
    <col min="3" max="3" width="19.42578125" customWidth="1"/>
    <col min="4" max="4" width="11" customWidth="1"/>
    <col min="5" max="5" width="9.140625" customWidth="1"/>
    <col min="6" max="6" width="8.85546875" customWidth="1"/>
  </cols>
  <sheetData>
    <row r="1" spans="1:6" x14ac:dyDescent="0.25">
      <c r="A1" t="s">
        <v>81</v>
      </c>
      <c r="B1" t="s">
        <v>22</v>
      </c>
      <c r="C1" t="s">
        <v>23</v>
      </c>
      <c r="D1" t="s">
        <v>0</v>
      </c>
      <c r="E1" t="s">
        <v>24</v>
      </c>
      <c r="F1" t="s">
        <v>25</v>
      </c>
    </row>
    <row r="2" spans="1:6" x14ac:dyDescent="0.25">
      <c r="A2">
        <v>40022547297</v>
      </c>
      <c r="B2" t="s">
        <v>82</v>
      </c>
      <c r="C2" t="s">
        <v>83</v>
      </c>
      <c r="D2" t="s">
        <v>6</v>
      </c>
      <c r="E2" t="s">
        <v>84</v>
      </c>
    </row>
    <row r="3" spans="1:6" x14ac:dyDescent="0.25">
      <c r="A3">
        <v>40022547352</v>
      </c>
      <c r="B3" t="s">
        <v>82</v>
      </c>
      <c r="C3" t="s">
        <v>85</v>
      </c>
      <c r="D3" t="s">
        <v>6</v>
      </c>
      <c r="E3" t="s">
        <v>84</v>
      </c>
    </row>
    <row r="4" spans="1:6" x14ac:dyDescent="0.25">
      <c r="A4">
        <v>40022911768</v>
      </c>
      <c r="B4" t="s">
        <v>82</v>
      </c>
      <c r="C4" t="s">
        <v>86</v>
      </c>
      <c r="D4" t="s">
        <v>6</v>
      </c>
      <c r="E4" t="s">
        <v>84</v>
      </c>
    </row>
    <row r="5" spans="1:6" x14ac:dyDescent="0.25">
      <c r="A5">
        <v>40024654793</v>
      </c>
      <c r="B5" t="s">
        <v>82</v>
      </c>
      <c r="C5" t="s">
        <v>85</v>
      </c>
      <c r="D5" t="s">
        <v>38</v>
      </c>
      <c r="E5" t="s">
        <v>84</v>
      </c>
    </row>
    <row r="6" spans="1:6" x14ac:dyDescent="0.25">
      <c r="A6">
        <v>40024654803</v>
      </c>
      <c r="B6" t="s">
        <v>82</v>
      </c>
      <c r="C6" t="s">
        <v>87</v>
      </c>
      <c r="D6" t="s">
        <v>11</v>
      </c>
      <c r="E6" t="s">
        <v>84</v>
      </c>
    </row>
    <row r="7" spans="1:6" x14ac:dyDescent="0.25">
      <c r="A7">
        <v>2942029359</v>
      </c>
      <c r="B7" t="s">
        <v>88</v>
      </c>
      <c r="C7" t="s">
        <v>87</v>
      </c>
      <c r="D7" t="s">
        <v>6</v>
      </c>
      <c r="E7" t="s">
        <v>84</v>
      </c>
    </row>
    <row r="8" spans="1:6" x14ac:dyDescent="0.25">
      <c r="A8">
        <v>2828001926</v>
      </c>
      <c r="B8" t="s">
        <v>88</v>
      </c>
      <c r="C8" t="s">
        <v>87</v>
      </c>
      <c r="D8" t="s">
        <v>11</v>
      </c>
      <c r="E8" t="s">
        <v>84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28"/>
  <sheetViews>
    <sheetView tabSelected="1" zoomScale="90" zoomScaleNormal="90" workbookViewId="0">
      <pane ySplit="19" topLeftCell="A20" activePane="bottomLeft" state="frozen"/>
      <selection pane="bottomLeft" activeCell="I28" sqref="I28"/>
    </sheetView>
  </sheetViews>
  <sheetFormatPr defaultColWidth="8.7109375" defaultRowHeight="15" x14ac:dyDescent="0.25"/>
  <cols>
    <col min="1" max="1" width="5.42578125" style="1" customWidth="1"/>
    <col min="2" max="2" width="15.7109375" style="1" customWidth="1"/>
    <col min="3" max="3" width="14.42578125" style="1" customWidth="1"/>
    <col min="4" max="4" width="10.140625" style="1" customWidth="1"/>
    <col min="5" max="5" width="42.140625" style="1" customWidth="1"/>
    <col min="6" max="6" width="35.28515625" style="1" customWidth="1"/>
    <col min="7" max="7" width="22.140625" style="1" customWidth="1"/>
    <col min="8" max="8" width="22.28515625" style="1" customWidth="1"/>
    <col min="9" max="9" width="23.5703125" style="1" customWidth="1"/>
    <col min="10" max="10" width="18.5703125" style="1" customWidth="1"/>
    <col min="11" max="12" width="17.7109375" style="1" customWidth="1"/>
    <col min="13" max="16384" width="8.7109375" style="1"/>
  </cols>
  <sheetData>
    <row r="1" spans="1:12" ht="15.75" x14ac:dyDescent="0.25">
      <c r="B1" s="4">
        <v>43024</v>
      </c>
      <c r="E1" s="5" t="s">
        <v>89</v>
      </c>
      <c r="F1" s="5" t="s">
        <v>90</v>
      </c>
      <c r="G1" s="5" t="s">
        <v>97</v>
      </c>
      <c r="H1" s="5" t="s">
        <v>91</v>
      </c>
      <c r="I1" s="3"/>
      <c r="K1" s="5" t="s">
        <v>100</v>
      </c>
      <c r="L1" s="5" t="s">
        <v>101</v>
      </c>
    </row>
    <row r="2" spans="1:12" x14ac:dyDescent="0.25">
      <c r="E2" s="8">
        <f>SUM(E3:E8)</f>
        <v>249362.15499999997</v>
      </c>
      <c r="F2" s="8">
        <f>SUM(F3:F8)</f>
        <v>-739222.67890000006</v>
      </c>
      <c r="G2" s="8">
        <f>SUM(G3:G8)</f>
        <v>-1473.095500000014</v>
      </c>
      <c r="H2" s="8">
        <f>SUM(H3:H7)</f>
        <v>-491333.61940000003</v>
      </c>
      <c r="I2" s="3"/>
      <c r="K2" s="8">
        <f>USD_REPORT+EUR_REPORT*EUR_RATE+GBP_REPORT*GBP_RATE+CHF_REPORT*CHF_RATE+HKD_REPORT*HKD_RATE</f>
        <v>-315899.57899999997</v>
      </c>
      <c r="L2" s="8">
        <f>USD_PMRQ+EUR_PMRQ*EUR_RATE+GBP_PMRQ*GBP_RATE+CHF_PMRQ*CHF_RATE+HKD_PMRQ*HKD_RATE</f>
        <v>101.05</v>
      </c>
    </row>
    <row r="3" spans="1:12" hidden="1" x14ac:dyDescent="0.25">
      <c r="D3" s="40" t="s">
        <v>11</v>
      </c>
      <c r="E3" s="35">
        <f>E12</f>
        <v>51352.54</v>
      </c>
      <c r="F3" s="35">
        <f>F12</f>
        <v>-49407.49</v>
      </c>
      <c r="G3" s="35">
        <v>0</v>
      </c>
      <c r="H3" s="35">
        <f>G12</f>
        <v>1945.05</v>
      </c>
      <c r="I3" s="3"/>
    </row>
    <row r="4" spans="1:12" hidden="1" x14ac:dyDescent="0.25">
      <c r="C4" s="27">
        <v>1.2</v>
      </c>
      <c r="D4" s="36" t="s">
        <v>6</v>
      </c>
      <c r="E4" s="37">
        <f>E13*EUR_RATE_P</f>
        <v>3123.4560000000001</v>
      </c>
      <c r="F4" s="37">
        <f>F13*EUR_RATE</f>
        <v>-517197.06390000001</v>
      </c>
      <c r="G4" s="37">
        <f>H4-(E4+F4)</f>
        <v>26.028799999970943</v>
      </c>
      <c r="H4" s="37">
        <f>G13*EUR_RATE</f>
        <v>-514047.57910000003</v>
      </c>
      <c r="I4" s="27">
        <v>1.21</v>
      </c>
    </row>
    <row r="5" spans="1:12" hidden="1" x14ac:dyDescent="0.25">
      <c r="C5" s="27">
        <v>1.3</v>
      </c>
      <c r="D5" s="38" t="s">
        <v>38</v>
      </c>
      <c r="E5" s="39">
        <f>E14*GBP_RATE_P</f>
        <v>194886.15899999999</v>
      </c>
      <c r="F5" s="39">
        <f>F14*GBP_RATE</f>
        <v>-172618.125</v>
      </c>
      <c r="G5" s="39">
        <f>H5-(E5+F5)</f>
        <v>-1499.1242999999849</v>
      </c>
      <c r="H5" s="39">
        <f>G14*GBP_RATE</f>
        <v>20768.9097</v>
      </c>
      <c r="I5" s="27">
        <v>1.29</v>
      </c>
    </row>
    <row r="6" spans="1:12" hidden="1" x14ac:dyDescent="0.25">
      <c r="C6" s="27">
        <v>1.04</v>
      </c>
      <c r="D6" s="41" t="s">
        <v>3</v>
      </c>
      <c r="E6" s="42">
        <f>E15*CHF_RATE_P</f>
        <v>0</v>
      </c>
      <c r="F6" s="42">
        <f>F15*CHF_RATE</f>
        <v>0</v>
      </c>
      <c r="G6" s="42">
        <f>H6-(E6+F6)</f>
        <v>0</v>
      </c>
      <c r="H6" s="42">
        <f>G15*CHF_RATE</f>
        <v>0</v>
      </c>
      <c r="I6" s="27">
        <v>1.05</v>
      </c>
    </row>
    <row r="7" spans="1:12" hidden="1" x14ac:dyDescent="0.25">
      <c r="C7" s="27">
        <v>0.12</v>
      </c>
      <c r="D7" s="43" t="s">
        <v>96</v>
      </c>
      <c r="E7" s="44">
        <f>E16*HKD_RATE_P</f>
        <v>0</v>
      </c>
      <c r="F7" s="44">
        <f>F16*HKD_RATE</f>
        <v>0</v>
      </c>
      <c r="G7" s="44">
        <f>H7-(E7+F7)</f>
        <v>0</v>
      </c>
      <c r="H7" s="44">
        <f>G16*HKD_RATE</f>
        <v>0</v>
      </c>
      <c r="I7" s="27">
        <v>0.12</v>
      </c>
    </row>
    <row r="8" spans="1:12" customFormat="1" hidden="1" x14ac:dyDescent="0.25"/>
    <row r="9" spans="1:12" x14ac:dyDescent="0.25">
      <c r="E9" s="2"/>
      <c r="F9" s="3"/>
      <c r="G9"/>
      <c r="H9" s="3"/>
      <c r="I9" s="3"/>
    </row>
    <row r="10" spans="1:12" ht="15.75" thickBot="1" x14ac:dyDescent="0.3">
      <c r="E10" s="2"/>
      <c r="F10" s="3"/>
      <c r="G10"/>
      <c r="H10" s="3"/>
      <c r="I10" s="3"/>
    </row>
    <row r="11" spans="1:12" ht="15.75" thickBot="1" x14ac:dyDescent="0.3">
      <c r="E11" s="5" t="s">
        <v>70</v>
      </c>
      <c r="F11" s="5" t="s">
        <v>71</v>
      </c>
      <c r="G11" s="5" t="s">
        <v>72</v>
      </c>
      <c r="H11" s="6" t="s">
        <v>73</v>
      </c>
      <c r="I11" s="7" t="s">
        <v>74</v>
      </c>
      <c r="K11" s="5" t="s">
        <v>100</v>
      </c>
      <c r="L11" s="5" t="s">
        <v>101</v>
      </c>
    </row>
    <row r="12" spans="1:12" x14ac:dyDescent="0.25">
      <c r="A12"/>
      <c r="E12" s="8">
        <f>SUMIFS(MsDailyTable[PREVIOUS],MsDailyTable[Currency],"USD")</f>
        <v>51352.54</v>
      </c>
      <c r="F12" s="8">
        <f>G12-E12</f>
        <v>-49407.49</v>
      </c>
      <c r="G12" s="8">
        <f>SUMIFS(MsDailyTable[BALANCE],MsDailyTable[Currency],"USD")</f>
        <v>1945.05</v>
      </c>
      <c r="H12" s="9"/>
      <c r="I12" s="10">
        <f>G12+H12</f>
        <v>1945.05</v>
      </c>
      <c r="K12" s="8">
        <f>SUMIFS(MsDailyTable[Debit/Credit],MsDailyTable[Currency],USD_NAME,MsDailyTable[Report],"&lt;&gt;")</f>
        <v>0</v>
      </c>
      <c r="L12" s="8">
        <f>SUMIFS(MsDailyTable[Debit/Credit],MsDailyTable[Currency],USD_NAME,MsDailyTable[PMRQ],"&lt;&gt;")</f>
        <v>100</v>
      </c>
    </row>
    <row r="13" spans="1:12" x14ac:dyDescent="0.25">
      <c r="A13"/>
      <c r="E13" s="11">
        <f>SUMIFS(MsDailyTable[PREVIOUS],MsDailyTable[Currency],"EUR")</f>
        <v>2602.88</v>
      </c>
      <c r="F13" s="12">
        <f>G13-E13</f>
        <v>-427435.59</v>
      </c>
      <c r="G13" s="13">
        <f>SUMIFS(MsDailyTable[BALANCE],MsDailyTable[Currency],"EUR")</f>
        <v>-424832.71</v>
      </c>
      <c r="H13" s="14"/>
      <c r="I13" s="15">
        <f t="shared" ref="I13:I14" si="0">G13+H13</f>
        <v>-424832.71</v>
      </c>
      <c r="K13" s="11">
        <f>SUMIFS(MsDailyTable[Debit/Credit],MsDailyTable[Currency],EUR_NAME,MsDailyTable[Report],"&lt;&gt;")</f>
        <v>-261074.9</v>
      </c>
      <c r="L13" s="11">
        <f>SUMIFS(MsDailyTable[Debit/Credit],MsDailyTable[Currency],EUR_NAME,MsDailyTable[PMRQ],"&lt;&gt;")</f>
        <v>0</v>
      </c>
    </row>
    <row r="14" spans="1:12" x14ac:dyDescent="0.25">
      <c r="A14"/>
      <c r="E14" s="50">
        <f>SUMIFS(MsDailyTable[PREVIOUS],MsDailyTable[Currency],"GBP")</f>
        <v>149912.43</v>
      </c>
      <c r="F14" s="51">
        <f>G14-E14</f>
        <v>-133812.5</v>
      </c>
      <c r="G14" s="50">
        <f>SUMIFS(MsDailyTable[BALANCE],MsDailyTable[Currency],"GBP")</f>
        <v>16099.93</v>
      </c>
      <c r="H14" s="16"/>
      <c r="I14" s="17">
        <f t="shared" si="0"/>
        <v>16099.93</v>
      </c>
      <c r="K14" s="50">
        <f>SUMIFS(MsDailyTable[Debit/Credit],MsDailyTable[Currency],GBP_NAME,MsDailyTable[Report],"&lt;&gt;")</f>
        <v>0</v>
      </c>
      <c r="L14" s="50">
        <f>SUMIFS(MsDailyTable[Debit/Credit],MsDailyTable[Currency],GBP_NAME,MsDailyTable[PMRQ],"&lt;&gt;")</f>
        <v>0</v>
      </c>
    </row>
    <row r="15" spans="1:12" x14ac:dyDescent="0.25">
      <c r="A15" s="47"/>
      <c r="E15" s="52">
        <f>SUMIFS(MsDailyTable[PREVIOUS],MsDailyTable[Currency],"CHF")</f>
        <v>0</v>
      </c>
      <c r="F15" s="52">
        <f>G15-E15</f>
        <v>0</v>
      </c>
      <c r="G15" s="52">
        <f>SUMIFS(MsDailyTable[BALANCE],MsDailyTable[Currency],"CHF")</f>
        <v>0</v>
      </c>
      <c r="I15" s="18"/>
      <c r="K15" s="52">
        <f>SUMIFS(MsDailyTable[Debit/Credit],MsDailyTable[Currency],CHF_NAME,MsDailyTable[Report],"&lt;&gt;")</f>
        <v>1</v>
      </c>
      <c r="L15" s="52">
        <f>SUMIFS(MsDailyTable[Debit/Credit],MsDailyTable[Currency],CHF_NAME,MsDailyTable[PMRQ],"&lt;&gt;")</f>
        <v>1</v>
      </c>
    </row>
    <row r="16" spans="1:12" x14ac:dyDescent="0.25">
      <c r="A16" s="54"/>
      <c r="E16" s="53">
        <f>SUMIFS(MsDailyTable[PREVIOUS],MsDailyTable[Currency],"HKD")</f>
        <v>0</v>
      </c>
      <c r="F16" s="53">
        <f>G16-E16</f>
        <v>0</v>
      </c>
      <c r="G16" s="53">
        <f>SUMIFS(MsDailyTable[BALANCE],MsDailyTable[Currency],"HKD")</f>
        <v>0</v>
      </c>
      <c r="I16" s="18"/>
      <c r="K16" s="53">
        <f>SUMIFS(MsDailyTable[Debit/Credit],MsDailyTable[Currency],HKD_NAME,MsDailyTable[Report],"&lt;&gt;")</f>
        <v>0</v>
      </c>
      <c r="L16" s="53">
        <f>SUMIFS(MsDailyTable[Debit/Credit],MsDailyTable[Currency],HKD_NAME,MsDailyTable[PMRQ],"&lt;&gt;")</f>
        <v>0</v>
      </c>
    </row>
    <row r="19" spans="2:12" ht="23.25" customHeight="1" x14ac:dyDescent="0.25">
      <c r="B19" s="23" t="s">
        <v>70</v>
      </c>
      <c r="C19" s="24" t="s">
        <v>80</v>
      </c>
      <c r="D19" s="24" t="s">
        <v>0</v>
      </c>
      <c r="E19" s="24" t="s">
        <v>68</v>
      </c>
      <c r="F19" s="24" t="s">
        <v>67</v>
      </c>
      <c r="G19" s="24" t="s">
        <v>99</v>
      </c>
      <c r="H19" s="24" t="s">
        <v>98</v>
      </c>
      <c r="I19" s="23" t="s">
        <v>79</v>
      </c>
      <c r="J19" s="23" t="s">
        <v>72</v>
      </c>
      <c r="K19" s="45" t="s">
        <v>100</v>
      </c>
      <c r="L19" s="45" t="s">
        <v>101</v>
      </c>
    </row>
    <row r="20" spans="2:12" ht="18.75" x14ac:dyDescent="0.3">
      <c r="B20" s="22">
        <v>0</v>
      </c>
      <c r="C20" s="19" t="s">
        <v>75</v>
      </c>
      <c r="D20" s="26" t="s">
        <v>6</v>
      </c>
      <c r="E20" s="20"/>
      <c r="F20" s="48"/>
      <c r="G20" s="21">
        <v>-261074.9</v>
      </c>
      <c r="H20" s="21"/>
      <c r="I20" s="22">
        <v>-427044.12</v>
      </c>
      <c r="J20" s="46">
        <v>-427044.12</v>
      </c>
      <c r="K20" s="49" t="s">
        <v>102</v>
      </c>
      <c r="L20" s="26"/>
    </row>
    <row r="21" spans="2:12" ht="18.75" x14ac:dyDescent="0.3">
      <c r="B21" s="22">
        <v>0</v>
      </c>
      <c r="C21" s="19" t="s">
        <v>75</v>
      </c>
      <c r="D21" s="26" t="s">
        <v>38</v>
      </c>
      <c r="E21" s="20"/>
      <c r="F21" s="48"/>
      <c r="G21" s="21">
        <v>1654.14</v>
      </c>
      <c r="H21" s="21"/>
      <c r="I21" s="22">
        <v>335.28</v>
      </c>
      <c r="J21" s="46">
        <v>335.28</v>
      </c>
      <c r="K21" s="26"/>
      <c r="L21" s="26"/>
    </row>
    <row r="22" spans="2:12" ht="18.75" x14ac:dyDescent="0.3">
      <c r="B22" s="22">
        <v>0</v>
      </c>
      <c r="C22" s="19" t="s">
        <v>75</v>
      </c>
      <c r="D22" s="26" t="s">
        <v>3</v>
      </c>
      <c r="E22" s="20"/>
      <c r="F22" s="48"/>
      <c r="G22" s="21">
        <v>1</v>
      </c>
      <c r="H22" s="21"/>
      <c r="I22" s="22">
        <v>0</v>
      </c>
      <c r="J22" s="46">
        <v>0</v>
      </c>
      <c r="K22" s="49" t="s">
        <v>103</v>
      </c>
      <c r="L22" s="49">
        <v>88</v>
      </c>
    </row>
    <row r="23" spans="2:12" ht="18.75" x14ac:dyDescent="0.3">
      <c r="B23" s="22"/>
      <c r="C23" s="19"/>
      <c r="D23" s="26"/>
      <c r="E23" s="20"/>
      <c r="F23" s="48"/>
      <c r="G23" s="21"/>
      <c r="H23" s="21"/>
      <c r="I23" s="22"/>
      <c r="J23" s="46"/>
      <c r="K23" s="26"/>
      <c r="L23" s="26"/>
    </row>
    <row r="24" spans="2:12" ht="18.75" x14ac:dyDescent="0.3">
      <c r="B24" s="22">
        <v>149912.43</v>
      </c>
      <c r="C24" s="19" t="s">
        <v>76</v>
      </c>
      <c r="D24" s="26" t="s">
        <v>38</v>
      </c>
      <c r="E24" s="20"/>
      <c r="F24" s="48"/>
      <c r="G24" s="21">
        <v>-495</v>
      </c>
      <c r="H24" s="21"/>
      <c r="I24" s="22">
        <v>2852.22</v>
      </c>
      <c r="J24" s="46">
        <v>15764.65</v>
      </c>
      <c r="K24" s="26"/>
      <c r="L24" s="26"/>
    </row>
    <row r="25" spans="2:12" ht="18.75" x14ac:dyDescent="0.3">
      <c r="B25" s="22"/>
      <c r="C25" s="19"/>
      <c r="D25" s="26"/>
      <c r="E25" s="20"/>
      <c r="F25" s="48"/>
      <c r="G25" s="21"/>
      <c r="H25" s="21"/>
      <c r="I25" s="22"/>
      <c r="J25" s="46"/>
      <c r="K25" s="26"/>
      <c r="L25" s="26"/>
    </row>
    <row r="26" spans="2:12" ht="18.75" x14ac:dyDescent="0.3">
      <c r="B26" s="22">
        <v>51352.54</v>
      </c>
      <c r="C26" s="19" t="s">
        <v>77</v>
      </c>
      <c r="D26" s="26" t="s">
        <v>11</v>
      </c>
      <c r="E26" s="20"/>
      <c r="F26" s="48" t="s">
        <v>69</v>
      </c>
      <c r="G26" s="21">
        <v>100</v>
      </c>
      <c r="H26" s="21"/>
      <c r="I26" s="22">
        <v>-49407.49</v>
      </c>
      <c r="J26" s="46">
        <v>1945.05</v>
      </c>
      <c r="K26" s="49"/>
      <c r="L26" s="26">
        <v>55</v>
      </c>
    </row>
    <row r="27" spans="2:12" ht="18.75" x14ac:dyDescent="0.3">
      <c r="B27" s="22">
        <v>2602.88</v>
      </c>
      <c r="C27" s="19" t="s">
        <v>77</v>
      </c>
      <c r="D27" s="26" t="s">
        <v>6</v>
      </c>
      <c r="E27" s="20"/>
      <c r="F27" s="48" t="s">
        <v>69</v>
      </c>
      <c r="G27" s="21">
        <v>161796.53</v>
      </c>
      <c r="H27" s="21"/>
      <c r="I27" s="22">
        <v>-391.47</v>
      </c>
      <c r="J27" s="46">
        <v>2211.41</v>
      </c>
      <c r="K27" s="26"/>
      <c r="L27" s="26"/>
    </row>
    <row r="28" spans="2:12" ht="18.75" x14ac:dyDescent="0.3">
      <c r="B28" s="22">
        <v>0</v>
      </c>
      <c r="C28" s="19" t="s">
        <v>77</v>
      </c>
      <c r="D28" s="26" t="s">
        <v>3</v>
      </c>
      <c r="E28" s="20"/>
      <c r="F28" s="48" t="s">
        <v>69</v>
      </c>
      <c r="G28" s="21"/>
      <c r="H28" s="21"/>
      <c r="I28" s="22">
        <v>0</v>
      </c>
      <c r="J28" s="46">
        <v>0</v>
      </c>
      <c r="K28" s="26"/>
      <c r="L28" s="26"/>
    </row>
  </sheetData>
  <conditionalFormatting sqref="D3">
    <cfRule type="expression" dxfId="33" priority="1">
      <formula>$D3=""</formula>
    </cfRule>
    <cfRule type="expression" dxfId="32" priority="2">
      <formula>$D3="CHF"</formula>
    </cfRule>
    <cfRule type="expression" dxfId="31" priority="3">
      <formula>$D3="GBP"</formula>
    </cfRule>
    <cfRule type="expression" dxfId="30" priority="4">
      <formula>$D3="EUR"</formula>
    </cfRule>
    <cfRule type="expression" dxfId="29" priority="5">
      <formula>$D3="USD"</formula>
    </cfRule>
  </conditionalFormatting>
  <conditionalFormatting sqref="B20:L28">
    <cfRule type="expression" dxfId="28" priority="6">
      <formula>$D20=""</formula>
    </cfRule>
    <cfRule type="expression" dxfId="27" priority="7">
      <formula>$D20="CHF"</formula>
    </cfRule>
    <cfRule type="expression" dxfId="26" priority="8">
      <formula>$D20="GBP"</formula>
    </cfRule>
    <cfRule type="expression" dxfId="25" priority="9">
      <formula>$D20="EUR"</formula>
    </cfRule>
    <cfRule type="expression" dxfId="24" priority="10">
      <formula>$D20="USD"</formula>
    </cfRule>
  </conditionalFormatting>
  <pageMargins left="0.25" right="0.25" top="0.75" bottom="0.75" header="0.3" footer="0.3"/>
  <pageSetup paperSize="9" scale="58" fitToHeight="0" orientation="landscape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zoomScale="90" zoomScaleNormal="90" workbookViewId="0">
      <pane ySplit="4" topLeftCell="A5" activePane="bottomLeft" state="frozen"/>
      <selection pane="bottomLeft" activeCell="F1" sqref="F1"/>
    </sheetView>
  </sheetViews>
  <sheetFormatPr defaultColWidth="8.7109375" defaultRowHeight="21" x14ac:dyDescent="0.35"/>
  <cols>
    <col min="1" max="1" width="8.7109375" style="1"/>
    <col min="2" max="2" width="29.85546875" style="28" customWidth="1"/>
    <col min="3" max="3" width="17.5703125" style="28" bestFit="1" customWidth="1"/>
    <col min="4" max="4" width="48.42578125" style="28" customWidth="1"/>
    <col min="5" max="5" width="41.42578125" style="28" customWidth="1"/>
    <col min="6" max="6" width="29.85546875" style="28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bestFit="1" customWidth="1"/>
    <col min="11" max="11" width="12.28515625" style="1" bestFit="1" customWidth="1"/>
    <col min="12" max="12" width="16.5703125" style="1" bestFit="1" customWidth="1"/>
    <col min="13" max="16384" width="8.7109375" style="1"/>
  </cols>
  <sheetData>
    <row r="1" spans="2:9" x14ac:dyDescent="0.35">
      <c r="E1" s="29"/>
      <c r="F1" s="4">
        <v>43024</v>
      </c>
      <c r="H1" s="3"/>
      <c r="I1" s="3"/>
    </row>
    <row r="4" spans="2:9" ht="23.25" customHeight="1" x14ac:dyDescent="0.25">
      <c r="B4" s="30" t="s">
        <v>80</v>
      </c>
      <c r="C4" s="30" t="s">
        <v>0</v>
      </c>
      <c r="D4" s="30" t="s">
        <v>68</v>
      </c>
      <c r="E4" s="30" t="s">
        <v>67</v>
      </c>
      <c r="F4" s="30" t="s">
        <v>78</v>
      </c>
    </row>
    <row r="5" spans="2:9" x14ac:dyDescent="0.35">
      <c r="B5" s="31" t="s">
        <v>75</v>
      </c>
      <c r="C5" s="32" t="s">
        <v>6</v>
      </c>
      <c r="D5" s="33"/>
      <c r="E5" s="33"/>
      <c r="F5" s="34">
        <v>-261074.9</v>
      </c>
    </row>
    <row r="6" spans="2:9" x14ac:dyDescent="0.35">
      <c r="B6" s="31" t="s">
        <v>75</v>
      </c>
      <c r="C6" s="32" t="s">
        <v>38</v>
      </c>
      <c r="D6" s="33"/>
      <c r="E6" s="33"/>
      <c r="F6" s="34">
        <v>1654.14</v>
      </c>
    </row>
    <row r="7" spans="2:9" x14ac:dyDescent="0.35">
      <c r="B7" s="31" t="s">
        <v>75</v>
      </c>
      <c r="C7" s="32" t="s">
        <v>3</v>
      </c>
      <c r="D7" s="33"/>
      <c r="E7" s="33"/>
      <c r="F7" s="34">
        <v>1</v>
      </c>
    </row>
    <row r="8" spans="2:9" x14ac:dyDescent="0.35">
      <c r="B8" s="31"/>
      <c r="C8" s="32"/>
      <c r="D8" s="33"/>
      <c r="E8" s="33"/>
      <c r="F8" s="34"/>
    </row>
    <row r="9" spans="2:9" x14ac:dyDescent="0.35">
      <c r="B9" s="31" t="s">
        <v>76</v>
      </c>
      <c r="C9" s="32" t="s">
        <v>38</v>
      </c>
      <c r="D9" s="33"/>
      <c r="E9" s="33"/>
      <c r="F9" s="34">
        <v>-495</v>
      </c>
    </row>
    <row r="10" spans="2:9" x14ac:dyDescent="0.35">
      <c r="B10" s="31"/>
      <c r="C10" s="32"/>
      <c r="D10" s="33"/>
      <c r="E10" s="33"/>
      <c r="F10" s="34"/>
    </row>
    <row r="11" spans="2:9" x14ac:dyDescent="0.35">
      <c r="B11" s="31" t="s">
        <v>77</v>
      </c>
      <c r="C11" s="32" t="s">
        <v>11</v>
      </c>
      <c r="D11" s="33"/>
      <c r="E11" s="33" t="s">
        <v>69</v>
      </c>
      <c r="F11" s="34">
        <v>45633.94</v>
      </c>
    </row>
    <row r="12" spans="2:9" x14ac:dyDescent="0.35">
      <c r="B12" s="31" t="s">
        <v>77</v>
      </c>
      <c r="C12" s="32" t="s">
        <v>6</v>
      </c>
      <c r="D12" s="33"/>
      <c r="E12" s="33" t="s">
        <v>69</v>
      </c>
      <c r="F12" s="34">
        <v>161796.53</v>
      </c>
    </row>
    <row r="13" spans="2:9" x14ac:dyDescent="0.35">
      <c r="B13" s="31" t="s">
        <v>77</v>
      </c>
      <c r="C13" s="32" t="s">
        <v>3</v>
      </c>
      <c r="D13" s="33"/>
      <c r="E13" s="33" t="s">
        <v>69</v>
      </c>
      <c r="F13" s="34"/>
    </row>
  </sheetData>
  <conditionalFormatting sqref="B5:F13">
    <cfRule type="expression" dxfId="11" priority="6">
      <formula>$C5=""</formula>
    </cfRule>
    <cfRule type="expression" dxfId="10" priority="7">
      <formula>$C5="CHF"</formula>
    </cfRule>
    <cfRule type="expression" dxfId="9" priority="8">
      <formula>$C5="GBP"</formula>
    </cfRule>
    <cfRule type="expression" dxfId="8" priority="9">
      <formula>$C5="EUR"</formula>
    </cfRule>
    <cfRule type="expression" dxfId="7" priority="10">
      <formula>$C5="USD"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Лист1</vt:lpstr>
      <vt:lpstr>CashUpdate</vt:lpstr>
      <vt:lpstr>CashMovement</vt:lpstr>
      <vt:lpstr>MS_Daily</vt:lpstr>
      <vt:lpstr>ReportY</vt:lpstr>
      <vt:lpstr>CHF_NAME</vt:lpstr>
      <vt:lpstr>CHF_PMRQ</vt:lpstr>
      <vt:lpstr>CHF_RATE</vt:lpstr>
      <vt:lpstr>CHF_RATE_P</vt:lpstr>
      <vt:lpstr>CHF_REPORT</vt:lpstr>
      <vt:lpstr>EUR_NAME</vt:lpstr>
      <vt:lpstr>EUR_PMRQ</vt:lpstr>
      <vt:lpstr>EUR_RATE</vt:lpstr>
      <vt:lpstr>EUR_RATE_P</vt:lpstr>
      <vt:lpstr>EUR_REPORT</vt:lpstr>
      <vt:lpstr>GBP_NAME</vt:lpstr>
      <vt:lpstr>GBP_PMRQ</vt:lpstr>
      <vt:lpstr>GBP_RATE</vt:lpstr>
      <vt:lpstr>GBP_RATE_P</vt:lpstr>
      <vt:lpstr>GBP_REPORT</vt:lpstr>
      <vt:lpstr>HKD_NAME</vt:lpstr>
      <vt:lpstr>HKD_PMRQ</vt:lpstr>
      <vt:lpstr>HKD_RATE</vt:lpstr>
      <vt:lpstr>HKD_RATE_P</vt:lpstr>
      <vt:lpstr>HKD_REPORT</vt:lpstr>
      <vt:lpstr>USD_NAME</vt:lpstr>
      <vt:lpstr>USD_PMRQ</vt:lpstr>
      <vt:lpstr>USD_REPORT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2018-04-13T11:54:26Z</dcterms:modified>
</cp:coreProperties>
</file>