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Лист1" sheetId="1" r:id="rId1"/>
    <sheet name="CashUpdate" sheetId="2" r:id="rId2"/>
    <sheet name="CashMovement" sheetId="4" r:id="rId3"/>
    <sheet name="MS_Daily" sheetId="3" r:id="rId4"/>
  </sheets>
  <functionGroups builtInGroupCount="18"/>
  <calcPr calcId="152511"/>
  <fileRecoveryPr autoRecover="0"/>
</workbook>
</file>

<file path=xl/calcChain.xml><?xml version="1.0" encoding="utf-8"?>
<calcChain xmlns="http://schemas.openxmlformats.org/spreadsheetml/2006/main">
  <c r="G7" i="3" l="1"/>
  <c r="F7" i="3" s="1"/>
  <c r="G6" i="3"/>
  <c r="G5" i="3"/>
  <c r="I5" i="3" s="1"/>
  <c r="G4" i="3"/>
  <c r="I4" i="3" s="1"/>
  <c r="G3" i="3"/>
  <c r="I3" i="3" s="1"/>
  <c r="E7" i="3"/>
  <c r="E6" i="3"/>
  <c r="E5" i="3"/>
  <c r="E4" i="3"/>
  <c r="E3" i="3"/>
  <c r="F6" i="3" l="1"/>
  <c r="F4" i="3"/>
  <c r="F5" i="3"/>
  <c r="F3" i="3"/>
</calcChain>
</file>

<file path=xl/sharedStrings.xml><?xml version="1.0" encoding="utf-8"?>
<sst xmlns="http://schemas.openxmlformats.org/spreadsheetml/2006/main" count="251" uniqueCount="92">
  <si>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</si>
  <si>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</si>
  <si>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</si>
  <si>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</si>
  <si>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</si>
  <si>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</si>
  <si>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</si>
  <si>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</si>
  <si>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</si>
  <si>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</si>
  <si>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</si>
  <si>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</si>
  <si>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</si>
  <si>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</si>
  <si>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</si>
  <si>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</si>
  <si>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</si>
  <si>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</si>
  <si>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</si>
  <si>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</si>
  <si>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</si>
  <si>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</si>
  <si>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</si>
  <si>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</si>
  <si>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</si>
  <si>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</si>
  <si>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</si>
  <si>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</si>
  <si>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</si>
  <si>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</si>
  <si>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</si>
  <si>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</si>
  <si>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</si>
  <si>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</si>
  <si>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</si>
  <si>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ICL MALTA VISA USD settlement</t>
  </si>
  <si>
    <t>BOV + APS</t>
  </si>
  <si>
    <t>PREMIUM CARDS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</si>
  <si>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</si>
  <si>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</si>
  <si>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</si>
  <si>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</si>
  <si>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</si>
  <si>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</si>
  <si>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</si>
  <si>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</si>
  <si>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</si>
  <si>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</si>
  <si>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</si>
  <si>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</si>
  <si>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</si>
  <si>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</si>
  <si>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</si>
  <si>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</si>
  <si>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</si>
  <si>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</si>
  <si>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</si>
  <si>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</si>
  <si>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</si>
  <si>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</si>
  <si>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</si>
  <si>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</si>
  <si>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</si>
  <si>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</si>
  <si>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</si>
  <si>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</si>
  <si>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</si>
  <si>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</si>
  <si>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Customer Premium GBP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</si>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</sst>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2" fillId="0" borderId="0"/>
  </cellStyleXfs>
  <cellXfs count="31">
    <xf numFmtId="0" fontId="0" fillId="0" borderId="0" xfId="0"/>
    <xf numFmtId="0" fontId="3" fillId="0" borderId="0" xfId="0" applyFont="1"/>
    <xf numFmtId="166" fontId="4" fillId="0" borderId="0" xfId="1" applyNumberFormat="1" applyFont="1" applyAlignment="1"/>
    <xf numFmtId="165" fontId="4" fillId="0" borderId="0" xfId="1" applyFont="1" applyAlignment="1"/>
    <xf numFmtId="167" fontId="5" fillId="3" borderId="0" xfId="0" applyNumberFormat="1" applyFont="1" applyFill="1" applyAlignment="1">
      <alignment horizontal="left" indent="1"/>
    </xf>
    <xf numFmtId="40" fontId="6" fillId="4" borderId="0" xfId="0" applyNumberFormat="1" applyFont="1" applyFill="1" applyAlignment="1">
      <alignment horizontal="center" vertical="center"/>
    </xf>
    <xf numFmtId="40" fontId="7" fillId="5" borderId="4" xfId="0" applyNumberFormat="1" applyFont="1" applyFill="1" applyBorder="1" applyAlignment="1">
      <alignment horizontal="center" vertical="center"/>
    </xf>
    <xf numFmtId="40" fontId="7" fillId="5" borderId="5" xfId="0" applyNumberFormat="1" applyFont="1" applyFill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right"/>
    </xf>
    <xf numFmtId="165" fontId="7" fillId="5" borderId="6" xfId="0" applyNumberFormat="1" applyFont="1" applyFill="1" applyBorder="1" applyAlignment="1">
      <alignment horizontal="right"/>
    </xf>
    <xf numFmtId="165" fontId="7" fillId="5" borderId="7" xfId="0" applyNumberFormat="1" applyFont="1" applyFill="1" applyBorder="1" applyAlignment="1">
      <alignment horizontal="right"/>
    </xf>
    <xf numFmtId="168" fontId="7" fillId="7" borderId="1" xfId="0" applyNumberFormat="1" applyFont="1" applyFill="1" applyBorder="1"/>
    <xf numFmtId="168" fontId="7" fillId="7" borderId="1" xfId="0" applyNumberFormat="1" applyFont="1" applyFill="1" applyBorder="1" applyAlignment="1">
      <alignment horizontal="right"/>
    </xf>
    <xf numFmtId="168" fontId="7" fillId="7" borderId="8" xfId="0" applyNumberFormat="1" applyFont="1" applyFill="1" applyBorder="1"/>
    <xf numFmtId="168" fontId="7" fillId="5" borderId="9" xfId="0" applyNumberFormat="1" applyFont="1" applyFill="1" applyBorder="1"/>
    <xf numFmtId="168" fontId="7" fillId="5" borderId="1" xfId="0" applyNumberFormat="1" applyFont="1" applyFill="1" applyBorder="1"/>
    <xf numFmtId="169" fontId="8" fillId="8" borderId="1" xfId="0" applyNumberFormat="1" applyFont="1" applyFill="1" applyBorder="1" applyAlignment="1">
      <alignment horizontal="right"/>
    </xf>
    <xf numFmtId="169" fontId="8" fillId="8" borderId="3" xfId="0" applyNumberFormat="1" applyFont="1" applyFill="1" applyBorder="1" applyAlignment="1">
      <alignment horizontal="right"/>
    </xf>
    <xf numFmtId="169" fontId="8" fillId="5" borderId="1" xfId="0" applyNumberFormat="1" applyFont="1" applyFill="1" applyBorder="1" applyAlignment="1">
      <alignment horizontal="right"/>
    </xf>
    <xf numFmtId="169" fontId="8" fillId="5" borderId="3" xfId="0" applyNumberFormat="1" applyFont="1" applyFill="1" applyBorder="1" applyAlignment="1">
      <alignment horizontal="right"/>
    </xf>
    <xf numFmtId="170" fontId="8" fillId="2" borderId="1" xfId="0" applyNumberFormat="1" applyFont="1" applyFill="1" applyBorder="1" applyAlignment="1">
      <alignment horizontal="right"/>
    </xf>
    <xf numFmtId="171" fontId="9" fillId="0" borderId="0" xfId="0" applyNumberFormat="1" applyFont="1" applyAlignment="1">
      <alignment horizontal="right"/>
    </xf>
    <xf numFmtId="166" fontId="8" fillId="9" borderId="1" xfId="0" applyNumberFormat="1" applyFont="1" applyFill="1" applyBorder="1" applyAlignment="1">
      <alignment horizontal="right"/>
    </xf>
    <xf numFmtId="0" fontId="3" fillId="0" borderId="3" xfId="0" applyFont="1" applyBorder="1"/>
    <xf numFmtId="0" fontId="3" fillId="0" borderId="1" xfId="0" applyFont="1" applyBorder="1"/>
    <xf numFmtId="164" fontId="3" fillId="0" borderId="1" xfId="0" applyNumberFormat="1" applyFont="1" applyBorder="1"/>
    <xf numFmtId="164" fontId="10" fillId="0" borderId="2" xfId="0" applyNumberFormat="1" applyFont="1" applyBorder="1" applyAlignment="1">
      <alignment horizontal="right" indent="1"/>
    </xf>
    <xf numFmtId="0" fontId="11" fillId="11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3" fillId="0" borderId="0" xfId="0" applyFont="1"/>
    <xf numFmtId="0" fontId="3" fillId="0" borderId="1" xfId="0" applyFont="1" applyBorder="1" applyAlignment="1">
      <alignment horizontal="center"/>
    </xf>
  </cellXfs>
  <cellStyles count="2">
    <cellStyle name="Normal" xfId="0" builtinId="0"/>
    <cellStyle name="Normal 4" xfId="1"/>
  </cellStyles>
  <dxfs count="14"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2" totalsRowShown="0">
  <autoFilter ref="A1:G32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0:I19" totalsRowShown="0" headerRowDxfId="8">
  <autoFilter ref="B10:I19"/>
  <tableColumns count="8">
    <tableColumn id="1" name="PREVIOUS" dataDxfId="7"/>
    <tableColumn id="2" name="Bank" dataDxfId="6"/>
    <tableColumn id="3" name="Currency" dataDxfId="5"/>
    <tableColumn id="4" name="FromTo" dataDxfId="4"/>
    <tableColumn id="5" name="Description" dataDxfId="3"/>
    <tableColumn id="6" name="Credit/Debit" dataDxfId="2"/>
    <tableColumn id="8" name="Σ activity by curr." dataDxfId="1"/>
    <tableColumn id="9" name="BALANCE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4" sqref="C14"/>
    </sheetView>
  </sheetViews>
  <sheetFormatPr defaultColWidth="8.7109375" defaultRowHeight="15" x14ac:dyDescent="0.25"/>
  <cols>
    <col min="1" max="1" width="27.140625" style="29" customWidth="1"/>
    <col min="2" max="16384" width="8.7109375" style="29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C1" sqref="C1:G1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38</v>
      </c>
      <c r="B2" t="s">
        <v>39</v>
      </c>
      <c r="C2" t="s">
        <v>38</v>
      </c>
      <c r="D2" t="s">
        <v>28</v>
      </c>
      <c r="E2" t="s">
        <v>11</v>
      </c>
      <c r="F2" t="s">
        <v>69</v>
      </c>
    </row>
    <row r="3" spans="1:7" x14ac:dyDescent="0.25">
      <c r="A3" t="s">
        <v>38</v>
      </c>
      <c r="B3" t="s">
        <v>39</v>
      </c>
      <c r="C3" t="s">
        <v>38</v>
      </c>
      <c r="D3" t="s">
        <v>28</v>
      </c>
      <c r="E3" t="s">
        <v>40</v>
      </c>
      <c r="F3" t="s">
        <v>69</v>
      </c>
    </row>
    <row r="4" spans="1:7" x14ac:dyDescent="0.25">
      <c r="A4" t="s">
        <v>38</v>
      </c>
      <c r="B4" t="s">
        <v>39</v>
      </c>
      <c r="C4" t="s">
        <v>38</v>
      </c>
      <c r="D4" t="s">
        <v>28</v>
      </c>
      <c r="E4" t="s">
        <v>6</v>
      </c>
      <c r="F4" t="s">
        <v>69</v>
      </c>
    </row>
    <row r="5" spans="1:7" x14ac:dyDescent="0.25">
      <c r="A5" t="s">
        <v>1</v>
      </c>
      <c r="B5" t="s">
        <v>41</v>
      </c>
      <c r="C5" t="s">
        <v>26</v>
      </c>
      <c r="D5" t="s">
        <v>28</v>
      </c>
      <c r="E5" t="s">
        <v>6</v>
      </c>
      <c r="F5" t="s">
        <v>69</v>
      </c>
    </row>
    <row r="6" spans="1:7" x14ac:dyDescent="0.25">
      <c r="A6" t="s">
        <v>1</v>
      </c>
      <c r="B6" t="s">
        <v>42</v>
      </c>
      <c r="C6" t="s">
        <v>26</v>
      </c>
      <c r="D6" t="s">
        <v>28</v>
      </c>
      <c r="E6" t="s">
        <v>11</v>
      </c>
      <c r="F6" t="s">
        <v>69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69</v>
      </c>
    </row>
    <row r="8" spans="1:7" x14ac:dyDescent="0.25">
      <c r="A8" t="s">
        <v>43</v>
      </c>
      <c r="B8" t="s">
        <v>44</v>
      </c>
      <c r="C8" t="s">
        <v>49</v>
      </c>
      <c r="D8" t="s">
        <v>28</v>
      </c>
      <c r="E8" t="s">
        <v>6</v>
      </c>
      <c r="F8" t="s">
        <v>69</v>
      </c>
    </row>
    <row r="9" spans="1:7" x14ac:dyDescent="0.25">
      <c r="A9" t="s">
        <v>43</v>
      </c>
      <c r="B9" t="s">
        <v>45</v>
      </c>
      <c r="C9" t="s">
        <v>49</v>
      </c>
      <c r="D9" t="s">
        <v>48</v>
      </c>
      <c r="E9" t="s">
        <v>6</v>
      </c>
      <c r="F9" t="s">
        <v>69</v>
      </c>
    </row>
    <row r="10" spans="1:7" x14ac:dyDescent="0.25">
      <c r="A10" t="s">
        <v>43</v>
      </c>
      <c r="B10" t="s">
        <v>46</v>
      </c>
      <c r="C10" t="s">
        <v>49</v>
      </c>
      <c r="D10" t="s">
        <v>28</v>
      </c>
      <c r="E10" t="s">
        <v>11</v>
      </c>
      <c r="F10" t="s">
        <v>69</v>
      </c>
    </row>
    <row r="11" spans="1:7" x14ac:dyDescent="0.25">
      <c r="A11" t="s">
        <v>43</v>
      </c>
      <c r="B11" t="s">
        <v>47</v>
      </c>
      <c r="C11" t="s">
        <v>49</v>
      </c>
      <c r="D11" t="s">
        <v>28</v>
      </c>
      <c r="E11" t="s">
        <v>40</v>
      </c>
      <c r="F11" t="s">
        <v>69</v>
      </c>
    </row>
    <row r="12" spans="1:7" x14ac:dyDescent="0.25">
      <c r="A12" t="s">
        <v>50</v>
      </c>
      <c r="B12" t="s">
        <v>51</v>
      </c>
      <c r="C12" t="s">
        <v>27</v>
      </c>
      <c r="D12" t="s">
        <v>50</v>
      </c>
      <c r="E12" t="s">
        <v>6</v>
      </c>
      <c r="F12" t="s">
        <v>69</v>
      </c>
    </row>
    <row r="13" spans="1:7" x14ac:dyDescent="0.25">
      <c r="A13" t="s">
        <v>4</v>
      </c>
      <c r="B13" t="s">
        <v>39</v>
      </c>
      <c r="C13" t="s">
        <v>27</v>
      </c>
      <c r="D13" t="s">
        <v>52</v>
      </c>
      <c r="E13" t="s">
        <v>11</v>
      </c>
      <c r="F13" t="s">
        <v>69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69</v>
      </c>
    </row>
    <row r="15" spans="1:7" x14ac:dyDescent="0.25">
      <c r="A15" t="s">
        <v>4</v>
      </c>
      <c r="B15" t="s">
        <v>53</v>
      </c>
      <c r="C15" t="s">
        <v>27</v>
      </c>
      <c r="D15" t="s">
        <v>62</v>
      </c>
      <c r="E15" t="s">
        <v>6</v>
      </c>
      <c r="F15" t="s">
        <v>69</v>
      </c>
    </row>
    <row r="16" spans="1:7" x14ac:dyDescent="0.25">
      <c r="A16" t="s">
        <v>4</v>
      </c>
      <c r="B16" t="s">
        <v>54</v>
      </c>
      <c r="C16" t="s">
        <v>27</v>
      </c>
      <c r="D16" t="s">
        <v>63</v>
      </c>
      <c r="E16" t="s">
        <v>6</v>
      </c>
      <c r="F16" t="s">
        <v>69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69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69</v>
      </c>
    </row>
    <row r="19" spans="1:7" x14ac:dyDescent="0.25">
      <c r="A19" t="s">
        <v>4</v>
      </c>
      <c r="B19" t="s">
        <v>55</v>
      </c>
      <c r="C19" t="s">
        <v>27</v>
      </c>
      <c r="D19" t="s">
        <v>67</v>
      </c>
      <c r="E19" t="s">
        <v>6</v>
      </c>
      <c r="F19" t="s">
        <v>69</v>
      </c>
    </row>
    <row r="20" spans="1:7" x14ac:dyDescent="0.25">
      <c r="A20" t="s">
        <v>4</v>
      </c>
      <c r="B20" t="s">
        <v>9</v>
      </c>
      <c r="C20" t="s">
        <v>27</v>
      </c>
      <c r="D20" t="s">
        <v>37</v>
      </c>
      <c r="E20" t="s">
        <v>6</v>
      </c>
      <c r="F20" t="s">
        <v>69</v>
      </c>
    </row>
    <row r="21" spans="1:7" x14ac:dyDescent="0.25">
      <c r="A21" t="s">
        <v>4</v>
      </c>
      <c r="B21" t="s">
        <v>56</v>
      </c>
      <c r="C21" t="s">
        <v>27</v>
      </c>
      <c r="D21" t="s">
        <v>64</v>
      </c>
      <c r="E21" t="s">
        <v>6</v>
      </c>
      <c r="F21" t="s">
        <v>69</v>
      </c>
    </row>
    <row r="22" spans="1:7" x14ac:dyDescent="0.25">
      <c r="A22" t="s">
        <v>4</v>
      </c>
      <c r="B22" t="s">
        <v>57</v>
      </c>
      <c r="C22" t="s">
        <v>27</v>
      </c>
      <c r="D22" t="s">
        <v>66</v>
      </c>
      <c r="E22" t="s">
        <v>6</v>
      </c>
      <c r="F22" t="s">
        <v>69</v>
      </c>
    </row>
    <row r="23" spans="1:7" x14ac:dyDescent="0.25">
      <c r="A23" t="s">
        <v>4</v>
      </c>
      <c r="B23" t="s">
        <v>58</v>
      </c>
      <c r="C23" t="s">
        <v>27</v>
      </c>
      <c r="D23" t="s">
        <v>65</v>
      </c>
      <c r="E23" t="s">
        <v>6</v>
      </c>
      <c r="F23" t="s">
        <v>69</v>
      </c>
    </row>
    <row r="24" spans="1:7" x14ac:dyDescent="0.25">
      <c r="A24" t="s">
        <v>4</v>
      </c>
      <c r="B24" t="s">
        <v>10</v>
      </c>
      <c r="C24" t="s">
        <v>36</v>
      </c>
      <c r="D24" t="s">
        <v>35</v>
      </c>
      <c r="E24" t="s">
        <v>11</v>
      </c>
      <c r="F24" t="s">
        <v>69</v>
      </c>
    </row>
    <row r="25" spans="1:7" x14ac:dyDescent="0.25">
      <c r="A25" t="s">
        <v>4</v>
      </c>
      <c r="B25" t="s">
        <v>59</v>
      </c>
      <c r="C25" t="s">
        <v>27</v>
      </c>
      <c r="D25" t="s">
        <v>68</v>
      </c>
      <c r="E25" t="s">
        <v>40</v>
      </c>
      <c r="F25" t="s">
        <v>69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69</v>
      </c>
    </row>
    <row r="27" spans="1:7" x14ac:dyDescent="0.25">
      <c r="A27" t="s">
        <v>14</v>
      </c>
      <c r="B27" t="s">
        <v>60</v>
      </c>
      <c r="C27" t="s">
        <v>14</v>
      </c>
      <c r="D27" t="s">
        <v>60</v>
      </c>
      <c r="E27" t="s">
        <v>6</v>
      </c>
      <c r="F27" t="s">
        <v>69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69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69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61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69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tabSelected="1"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84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85</v>
      </c>
      <c r="C2" t="s">
        <v>86</v>
      </c>
      <c r="D2" t="s">
        <v>6</v>
      </c>
      <c r="E2" t="s">
        <v>87</v>
      </c>
    </row>
    <row r="3" spans="1:6" x14ac:dyDescent="0.25">
      <c r="A3">
        <v>40022547352</v>
      </c>
      <c r="B3" t="s">
        <v>85</v>
      </c>
      <c r="C3" t="s">
        <v>88</v>
      </c>
      <c r="D3" t="s">
        <v>6</v>
      </c>
      <c r="E3" t="s">
        <v>87</v>
      </c>
    </row>
    <row r="4" spans="1:6" x14ac:dyDescent="0.25">
      <c r="A4">
        <v>40022911768</v>
      </c>
      <c r="B4" t="s">
        <v>85</v>
      </c>
      <c r="C4" t="s">
        <v>89</v>
      </c>
      <c r="D4" t="s">
        <v>6</v>
      </c>
      <c r="E4" t="s">
        <v>87</v>
      </c>
    </row>
    <row r="5" spans="1:6" x14ac:dyDescent="0.25">
      <c r="A5">
        <v>40024654793</v>
      </c>
      <c r="B5" t="s">
        <v>85</v>
      </c>
      <c r="C5" t="s">
        <v>88</v>
      </c>
      <c r="D5" t="s">
        <v>40</v>
      </c>
      <c r="E5" t="s">
        <v>87</v>
      </c>
    </row>
    <row r="6" spans="1:6" x14ac:dyDescent="0.25">
      <c r="A6">
        <v>40024654803</v>
      </c>
      <c r="B6" t="s">
        <v>85</v>
      </c>
      <c r="C6" t="s">
        <v>90</v>
      </c>
      <c r="D6" t="s">
        <v>11</v>
      </c>
      <c r="E6" t="s">
        <v>87</v>
      </c>
    </row>
    <row r="7" spans="1:6" x14ac:dyDescent="0.25">
      <c r="A7">
        <v>2942029359</v>
      </c>
      <c r="B7" t="s">
        <v>91</v>
      </c>
      <c r="C7" t="s">
        <v>90</v>
      </c>
      <c r="D7" t="s">
        <v>6</v>
      </c>
      <c r="E7" t="s">
        <v>87</v>
      </c>
    </row>
    <row r="8" spans="1:6" x14ac:dyDescent="0.25">
      <c r="A8">
        <v>2828001926</v>
      </c>
      <c r="B8" t="s">
        <v>91</v>
      </c>
      <c r="C8" t="s">
        <v>90</v>
      </c>
      <c r="D8" t="s">
        <v>11</v>
      </c>
      <c r="E8" t="s">
        <v>87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9"/>
  <sheetViews>
    <sheetView zoomScale="90" zoomScaleNormal="90" workbookViewId="0">
      <pane ySplit="10" topLeftCell="A11" activePane="bottomLeft" state="frozen"/>
      <selection pane="bottomLeft" activeCell="E12" sqref="E12"/>
    </sheetView>
  </sheetViews>
  <sheetFormatPr defaultColWidth="8.7109375" defaultRowHeight="15" x14ac:dyDescent="0.25"/>
  <cols>
    <col min="1" max="1" width="8.7109375" style="1"/>
    <col min="2" max="2" width="17" style="1" customWidth="1"/>
    <col min="3" max="4" width="13.42578125" style="1" bestFit="1" customWidth="1"/>
    <col min="5" max="5" width="42.140625" style="1" customWidth="1"/>
    <col min="6" max="6" width="44.140625" style="1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ht="16.5" thickBot="1" x14ac:dyDescent="0.3">
      <c r="E1" s="2"/>
      <c r="F1" s="3"/>
      <c r="G1" s="4">
        <v>43024</v>
      </c>
      <c r="H1" s="3"/>
      <c r="I1" s="3"/>
    </row>
    <row r="2" spans="2:9" ht="15.75" thickBot="1" x14ac:dyDescent="0.3">
      <c r="E2" s="5" t="s">
        <v>73</v>
      </c>
      <c r="F2" s="5" t="s">
        <v>74</v>
      </c>
      <c r="G2" s="5" t="s">
        <v>75</v>
      </c>
      <c r="H2" s="6" t="s">
        <v>76</v>
      </c>
      <c r="I2" s="7" t="s">
        <v>77</v>
      </c>
    </row>
    <row r="3" spans="2:9" x14ac:dyDescent="0.25">
      <c r="E3" s="8">
        <f>SUMIFS(MsDailyTable[PREVIOUS],MsDailyTable[Currency],"USD")</f>
        <v>51352.54</v>
      </c>
      <c r="F3" s="8">
        <f>G3-E3</f>
        <v>-49407.49</v>
      </c>
      <c r="G3" s="8">
        <f>SUMIFS(MsDailyTable[BALANCE],MsDailyTable[Currency],"USD")</f>
        <v>1945.05</v>
      </c>
      <c r="H3" s="9"/>
      <c r="I3" s="10">
        <f>G3+H3</f>
        <v>1945.05</v>
      </c>
    </row>
    <row r="4" spans="2:9" x14ac:dyDescent="0.25">
      <c r="E4" s="11">
        <f>SUMIFS(MsDailyTable[PREVIOUS],MsDailyTable[Currency],"EUR")</f>
        <v>2602.88</v>
      </c>
      <c r="F4" s="12">
        <f>G4-E4</f>
        <v>-427435.59</v>
      </c>
      <c r="G4" s="13">
        <f>SUMIFS(MsDailyTable[BALANCE],MsDailyTable[Currency],"EUR")</f>
        <v>-424832.71</v>
      </c>
      <c r="H4" s="14"/>
      <c r="I4" s="15">
        <f t="shared" ref="I4:I5" si="0">G4+H4</f>
        <v>-424832.71</v>
      </c>
    </row>
    <row r="5" spans="2:9" x14ac:dyDescent="0.25">
      <c r="E5" s="16">
        <f>SUMIFS(MsDailyTable[PREVIOUS],MsDailyTable[Currency],"GBP")</f>
        <v>149912.43</v>
      </c>
      <c r="F5" s="17">
        <f>G5-E5</f>
        <v>3187.5</v>
      </c>
      <c r="G5" s="16">
        <f>SUMIFS(MsDailyTable[BALANCE],MsDailyTable[Currency],"GBP")</f>
        <v>153099.93</v>
      </c>
      <c r="H5" s="18"/>
      <c r="I5" s="19">
        <f t="shared" si="0"/>
        <v>153099.93</v>
      </c>
    </row>
    <row r="6" spans="2:9" x14ac:dyDescent="0.25">
      <c r="E6" s="20">
        <f>SUMIFS(MsDailyTable[PREVIOUS],MsDailyTable[Currency],"CHF")</f>
        <v>0</v>
      </c>
      <c r="F6" s="20">
        <f>G6-E6</f>
        <v>0</v>
      </c>
      <c r="G6" s="20">
        <f>SUMIFS(MsDailyTable[BALANCE],MsDailyTable[Currency],"CHF")</f>
        <v>0</v>
      </c>
      <c r="I6" s="21"/>
    </row>
    <row r="7" spans="2:9" x14ac:dyDescent="0.25">
      <c r="E7" s="22">
        <f>SUMIFS(MsDailyTable[PREVIOUS],MsDailyTable[Currency],"HKD")</f>
        <v>0</v>
      </c>
      <c r="F7" s="22">
        <f>G7-E7</f>
        <v>0</v>
      </c>
      <c r="G7" s="22">
        <f>SUMIFS(MsDailyTable[BALANCE],MsDailyTable[Currency],"HKD")</f>
        <v>0</v>
      </c>
      <c r="I7" s="21"/>
    </row>
    <row r="10" spans="2:9" ht="23.25" customHeight="1" x14ac:dyDescent="0.25">
      <c r="B10" s="27" t="s">
        <v>73</v>
      </c>
      <c r="C10" s="28" t="s">
        <v>83</v>
      </c>
      <c r="D10" s="28" t="s">
        <v>0</v>
      </c>
      <c r="E10" s="28" t="s">
        <v>71</v>
      </c>
      <c r="F10" s="28" t="s">
        <v>70</v>
      </c>
      <c r="G10" s="28" t="s">
        <v>81</v>
      </c>
      <c r="H10" s="27" t="s">
        <v>82</v>
      </c>
      <c r="I10" s="27" t="s">
        <v>75</v>
      </c>
    </row>
    <row r="11" spans="2:9" ht="18.75" x14ac:dyDescent="0.3">
      <c r="B11" s="26">
        <v>0</v>
      </c>
      <c r="C11" s="23" t="s">
        <v>78</v>
      </c>
      <c r="D11" s="30" t="s">
        <v>6</v>
      </c>
      <c r="E11" s="24"/>
      <c r="F11" s="24"/>
      <c r="G11" s="25">
        <v>-261074.9</v>
      </c>
      <c r="H11" s="26">
        <v>-427044.12</v>
      </c>
      <c r="I11" s="26">
        <v>-427044.12</v>
      </c>
    </row>
    <row r="12" spans="2:9" ht="18.75" x14ac:dyDescent="0.3">
      <c r="B12" s="26">
        <v>0</v>
      </c>
      <c r="C12" s="23" t="s">
        <v>78</v>
      </c>
      <c r="D12" s="30" t="s">
        <v>40</v>
      </c>
      <c r="E12" s="24"/>
      <c r="F12" s="24"/>
      <c r="G12" s="25">
        <v>1654.14</v>
      </c>
      <c r="H12" s="26">
        <v>335.28</v>
      </c>
      <c r="I12" s="26">
        <v>335.28</v>
      </c>
    </row>
    <row r="13" spans="2:9" ht="18.75" x14ac:dyDescent="0.3">
      <c r="B13" s="26">
        <v>0</v>
      </c>
      <c r="C13" s="23" t="s">
        <v>78</v>
      </c>
      <c r="D13" s="30" t="s">
        <v>3</v>
      </c>
      <c r="E13" s="24"/>
      <c r="F13" s="24"/>
      <c r="G13" s="25">
        <v>1</v>
      </c>
      <c r="H13" s="26">
        <v>0</v>
      </c>
      <c r="I13" s="26">
        <v>0</v>
      </c>
    </row>
    <row r="14" spans="2:9" ht="18.75" x14ac:dyDescent="0.3">
      <c r="B14" s="26"/>
      <c r="C14" s="23"/>
      <c r="D14" s="30"/>
      <c r="E14" s="24"/>
      <c r="F14" s="24"/>
      <c r="G14" s="25"/>
      <c r="H14" s="26"/>
      <c r="I14" s="26"/>
    </row>
    <row r="15" spans="2:9" ht="18.75" x14ac:dyDescent="0.3">
      <c r="B15" s="26">
        <v>149912.43</v>
      </c>
      <c r="C15" s="23" t="s">
        <v>79</v>
      </c>
      <c r="D15" s="30" t="s">
        <v>40</v>
      </c>
      <c r="E15" s="24"/>
      <c r="F15" s="24"/>
      <c r="G15" s="25">
        <v>-495</v>
      </c>
      <c r="H15" s="26">
        <v>2852.22</v>
      </c>
      <c r="I15" s="26">
        <v>152764.65</v>
      </c>
    </row>
    <row r="16" spans="2:9" ht="18.75" x14ac:dyDescent="0.3">
      <c r="B16" s="26"/>
      <c r="C16" s="23"/>
      <c r="D16" s="30"/>
      <c r="E16" s="24"/>
      <c r="F16" s="24"/>
      <c r="G16" s="25"/>
      <c r="H16" s="26"/>
      <c r="I16" s="26"/>
    </row>
    <row r="17" spans="2:9" ht="18.75" x14ac:dyDescent="0.3">
      <c r="B17" s="26">
        <v>51352.54</v>
      </c>
      <c r="C17" s="23" t="s">
        <v>80</v>
      </c>
      <c r="D17" s="30" t="s">
        <v>11</v>
      </c>
      <c r="E17" s="24"/>
      <c r="F17" s="24" t="s">
        <v>72</v>
      </c>
      <c r="G17" s="25">
        <v>45633.94</v>
      </c>
      <c r="H17" s="26">
        <v>-49407.49</v>
      </c>
      <c r="I17" s="26">
        <v>1945.05</v>
      </c>
    </row>
    <row r="18" spans="2:9" ht="18.75" x14ac:dyDescent="0.3">
      <c r="B18" s="26">
        <v>2602.88</v>
      </c>
      <c r="C18" s="23" t="s">
        <v>80</v>
      </c>
      <c r="D18" s="30" t="s">
        <v>6</v>
      </c>
      <c r="E18" s="24"/>
      <c r="F18" s="24" t="s">
        <v>72</v>
      </c>
      <c r="G18" s="25">
        <v>161796.53</v>
      </c>
      <c r="H18" s="26">
        <v>-391.47</v>
      </c>
      <c r="I18" s="26">
        <v>2211.41</v>
      </c>
    </row>
    <row r="19" spans="2:9" ht="18.75" x14ac:dyDescent="0.3">
      <c r="B19" s="26">
        <v>0</v>
      </c>
      <c r="C19" s="23" t="s">
        <v>80</v>
      </c>
      <c r="D19" s="30" t="s">
        <v>3</v>
      </c>
      <c r="E19" s="24"/>
      <c r="F19" s="24" t="s">
        <v>72</v>
      </c>
      <c r="G19" s="25"/>
      <c r="H19" s="26">
        <v>0</v>
      </c>
      <c r="I19" s="26">
        <v>0</v>
      </c>
    </row>
  </sheetData>
  <conditionalFormatting sqref="B11:I19">
    <cfRule type="expression" dxfId="13" priority="1">
      <formula>$D11=""</formula>
    </cfRule>
    <cfRule type="expression" dxfId="12" priority="2">
      <formula>$D11="CHF"</formula>
    </cfRule>
    <cfRule type="expression" dxfId="11" priority="3">
      <formula>$D11="GBP"</formula>
    </cfRule>
    <cfRule type="expression" dxfId="10" priority="4">
      <formula>$D11="EUR"</formula>
    </cfRule>
    <cfRule type="expression" dxfId="9" priority="5">
      <formula>$D11="USD"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Лист1</vt:lpstr>
      <vt:lpstr>CashUpdate</vt:lpstr>
      <vt:lpstr>CashMovement</vt:lpstr>
      <vt:lpstr>MS_Daily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2017-11-07T07:40:57Z</dcterms:modified>
</cp:coreProperties>
</file>