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2" activeTab="2"/>
  </bookViews>
  <sheets>
    <sheet name="Лист1" sheetId="1" r:id="rId1"/>
    <sheet name="CashUpdate" sheetId="2" r:id="rId2"/>
    <sheet name="MS_Daily" sheetId="3" r:id="rId3"/>
  </sheets>
  <functionGroups builtInGroupCount="18"/>
  <calcPr calcId="152511" calcMode="manual"/>
</workbook>
</file>

<file path=xl/calcChain.xml><?xml version="1.0" encoding="utf-8"?>
<calcChain xmlns="http://schemas.openxmlformats.org/spreadsheetml/2006/main">
  <c r="F7" i="3" l="1"/>
  <c r="F6" i="3"/>
  <c r="F5" i="3"/>
  <c r="F4" i="3"/>
  <c r="F3" i="3"/>
  <c r="G7" i="3"/>
  <c r="G6" i="3"/>
  <c r="G5" i="3"/>
  <c r="I5" i="3" s="1"/>
  <c r="G4" i="3"/>
  <c r="I4" i="3" s="1"/>
  <c r="G3" i="3"/>
  <c r="I3" i="3" s="1"/>
  <c r="E7" i="3"/>
  <c r="E6" i="3"/>
  <c r="E5" i="3"/>
  <c r="E4" i="3"/>
  <c r="E3" i="3"/>
</calcChain>
</file>

<file path=xl/sharedStrings.xml><?xml version="1.0" encoding="utf-8"?>
<sst xmlns="http://schemas.openxmlformats.org/spreadsheetml/2006/main" count="444" uniqueCount="151">
  <si>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</si>
  <si>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</si>
  <si>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</si>
  <si>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</si>
  <si>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</si>
  <si>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</si>
  <si>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</si>
  <si>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</si>
  <si>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</si>
  <si>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</si>
  <si>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</si>
  <si>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</si>
  <si>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</si>
  <si>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</si>
  <si>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</si>
  <si>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</si>
  <si>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</si>
  <si>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</si>
  <si>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Ephrem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</si>
  <si>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</si>
  <si>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</si>
  <si>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</si>
  <si>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</si>
  <si>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</si>
  <si>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</si>
  <si>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</si>
  <si>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</si>
  <si>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</si>
  <si>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</si>
  <si>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</si>
  <si>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</si>
  <si>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</si>
  <si>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</si>
  <si>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</si>
  <si>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</si>
  <si>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ICL MALTA VISA USD settlement</t>
  </si>
  <si>
    <t>BOV + APS</t>
  </si>
  <si>
    <t>PREMIUM CARDS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</si>
  <si>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</si>
  <si>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</si>
  <si>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</si>
  <si>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</si>
  <si>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</si>
  <si>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</si>
  <si>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</si>
  <si>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</si>
  <si>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</si>
  <si>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</si>
  <si>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</si>
  <si>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</si>
  <si>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</si>
  <si>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</si>
  <si>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</si>
  <si>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Business Exp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</si>
  <si>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</si>
  <si>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</si>
  <si>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</si>
  <si>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</si>
  <si>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</si>
  <si>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</si>
  <si>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</si>
  <si>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Marlene</t>
  </si>
  <si>
    <t>Admin - Business Expenses</t>
  </si>
  <si>
    <t>IC Salaries</t>
  </si>
  <si>
    <t>Customer - UNIVERSE</t>
  </si>
  <si>
    <t>Customer-Universe(Payments)</t>
  </si>
  <si>
    <t>MEINL BANK</t>
  </si>
  <si>
    <t>VISA settlement</t>
  </si>
  <si>
    <t>Customer Premium GBP</t>
  </si>
  <si>
    <t>RegulatedBusiness</t>
  </si>
  <si>
    <t>Admin/Infrastructure</t>
  </si>
  <si>
    <t>PremiumCards</t>
  </si>
  <si>
    <t>Other</t>
  </si>
  <si>
    <t>PrevBalance</t>
  </si>
  <si>
    <t>Description</t>
  </si>
  <si>
    <t>Activity</t>
  </si>
  <si>
    <t>NewBalance</t>
  </si>
  <si>
    <t>ABLV</t>
  </si>
  <si>
    <t>FX internal exchange</t>
  </si>
  <si>
    <t>Bank charges</t>
  </si>
  <si>
    <t>From USD</t>
  </si>
  <si>
    <t>DPA IGNA</t>
  </si>
  <si>
    <t>BARCLAYS</t>
  </si>
  <si>
    <t>BankName</t>
  </si>
  <si>
    <t>CurrencyId</t>
  </si>
  <si>
    <t>FromTo</t>
  </si>
  <si>
    <t>Dcc</t>
  </si>
  <si>
    <t>To ICL BOV</t>
  </si>
  <si>
    <t>For premium cards</t>
  </si>
  <si>
    <t>MHLA</t>
  </si>
  <si>
    <t>VIP Service, 12.08.2017, Rome</t>
  </si>
  <si>
    <t>NATALIA LOZOVSKAYA</t>
  </si>
  <si>
    <t>RFB 13326104735/1XXX</t>
  </si>
  <si>
    <t/>
  </si>
  <si>
    <t>VVCS</t>
  </si>
  <si>
    <t>Photographer Service, 26.08.2017, Ibiza</t>
  </si>
  <si>
    <t>ZKRS</t>
  </si>
  <si>
    <t>Brunello Cucinelli Order, 17.08.2017</t>
  </si>
  <si>
    <t>to ILSE</t>
  </si>
  <si>
    <t>corp cards  1 Aug - 17 Aug</t>
  </si>
  <si>
    <t>TGLI</t>
  </si>
  <si>
    <t>Transfer Service, 18.08.17, Bodrum</t>
  </si>
  <si>
    <t>DUMV</t>
  </si>
  <si>
    <t>Payment Request, 17.08.2017, London</t>
  </si>
  <si>
    <t>Payment Request, 21.08.2017, London</t>
  </si>
  <si>
    <t>DPA IGNM</t>
  </si>
  <si>
    <t>Transfer out</t>
  </si>
  <si>
    <t>DPA  RSKV</t>
  </si>
  <si>
    <t>Transfer out DPA USD</t>
  </si>
  <si>
    <t>ARAGONIA INDUSTRIAL LTD</t>
  </si>
  <si>
    <t>MCE/RG 001553/0717(8085,56) MCE/ND 001843/0717 (6341,13) VAT N/A</t>
  </si>
  <si>
    <t>ZBLE</t>
  </si>
  <si>
    <t>fee according to introducer agreement dd 26.11.2016</t>
  </si>
  <si>
    <t>Make up Service, 26.08.2017, Ibiza (No other ways of payment)</t>
  </si>
  <si>
    <t>Hair Stylist Service, 26.08.2017, Ibiza (No other ways of payment)</t>
  </si>
  <si>
    <t>FX internal exchange From USD</t>
  </si>
  <si>
    <t>Insignia Lifestyle Boutique Bratislava</t>
  </si>
  <si>
    <t>Bank Charges</t>
  </si>
  <si>
    <t>Additional services upo request</t>
  </si>
  <si>
    <t>FX internal exchange from USD</t>
  </si>
  <si>
    <t>to ICL Malta</t>
  </si>
  <si>
    <t>from USD</t>
  </si>
  <si>
    <t>ANDO</t>
  </si>
  <si>
    <t>Charter Flight Gerona-Moscow, 27.08.2017</t>
  </si>
  <si>
    <t>TAER FZE</t>
  </si>
  <si>
    <t>INV MCE/DO002130/0717, MCE/VZ002122/0717</t>
  </si>
  <si>
    <t>Cash from Moscow</t>
  </si>
  <si>
    <t>QUINTESSENTIAL TRADE AND INVESTMENT</t>
  </si>
  <si>
    <t>PAYMENT OF INVOICE ROY DL 002114/07 17</t>
  </si>
  <si>
    <t>To TRIDEX</t>
  </si>
  <si>
    <t>DPA RSKV</t>
  </si>
  <si>
    <t>Global IT Development Ltd</t>
  </si>
  <si>
    <t>NEW IT Project TAO - Office Rent Sep'17</t>
  </si>
  <si>
    <t>fromto</t>
  </si>
  <si>
    <t>decr</t>
  </si>
  <si>
    <t>Long Drive Limited</t>
  </si>
  <si>
    <t>The Society of the Golden Keys Charity Golf event sponsor 2017 (MD &amp; MSt are attending)</t>
  </si>
  <si>
    <t>KDNT</t>
  </si>
  <si>
    <t>Sport Equipment Order, 08.08.2017, London</t>
  </si>
  <si>
    <t>TAER-FZO</t>
  </si>
  <si>
    <t>ANYTIME LEISURE LI</t>
  </si>
  <si>
    <t>S Gardner &amp; Co</t>
  </si>
  <si>
    <t>Prepayment to Sunita for advise on UK Visa Refusal (KLMA)</t>
  </si>
  <si>
    <t>Payment made by Meinl / Sparkasse / Bordier Bank / Alpinum Bank</t>
  </si>
  <si>
    <t>from Bordier 14.08 not yet in BOV</t>
  </si>
  <si>
    <t>Funds sent back to sender</t>
  </si>
  <si>
    <t>PREVIOUS</t>
  </si>
  <si>
    <t>ACTIVITY</t>
  </si>
  <si>
    <t>BALANCE</t>
  </si>
  <si>
    <t>PENDING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</si>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</sst>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165" fontId="4" fillId="0" borderId="0"/>
  </cellStyleXfs>
  <cellXfs count="30">
    <xf numFmtId="0" fontId="0" fillId="0" borderId="0" xfId="0"/>
    <xf numFmtId="164" fontId="3" fillId="0" borderId="1" xfId="0" applyNumberFormat="1" applyFont="1" applyBorder="1"/>
    <xf numFmtId="0" fontId="0" fillId="0" borderId="1" xfId="0" applyBorder="1"/>
    <xf numFmtId="164" fontId="0" fillId="0" borderId="1" xfId="0" applyNumberFormat="1" applyBorder="1"/>
    <xf numFmtId="164" fontId="3" fillId="0" borderId="2" xfId="0" applyNumberFormat="1" applyFont="1" applyBorder="1"/>
    <xf numFmtId="0" fontId="0" fillId="0" borderId="4" xfId="0" applyBorder="1"/>
    <xf numFmtId="164" fontId="3" fillId="0" borderId="3" xfId="0" applyNumberFormat="1" applyFont="1" applyBorder="1"/>
    <xf numFmtId="166" fontId="4" fillId="0" borderId="0" xfId="1" applyNumberFormat="1" applyFont="1" applyAlignment="1"/>
    <xf numFmtId="165" fontId="4" fillId="0" borderId="0" xfId="1" applyFont="1" applyAlignment="1"/>
    <xf numFmtId="167" fontId="5" fillId="3" borderId="0" xfId="0" applyNumberFormat="1" applyFont="1" applyFill="1" applyAlignment="1">
      <alignment horizontal="left" indent="1"/>
    </xf>
    <xf numFmtId="165" fontId="7" fillId="6" borderId="1" xfId="0" applyNumberFormat="1" applyFont="1" applyFill="1" applyBorder="1" applyAlignment="1">
      <alignment horizontal="right"/>
    </xf>
    <xf numFmtId="165" fontId="7" fillId="5" borderId="7" xfId="0" applyNumberFormat="1" applyFont="1" applyFill="1" applyBorder="1" applyAlignment="1">
      <alignment horizontal="right"/>
    </xf>
    <xf numFmtId="165" fontId="7" fillId="5" borderId="8" xfId="0" applyNumberFormat="1" applyFont="1" applyFill="1" applyBorder="1" applyAlignment="1">
      <alignment horizontal="right"/>
    </xf>
    <xf numFmtId="168" fontId="7" fillId="7" borderId="1" xfId="0" applyNumberFormat="1" applyFont="1" applyFill="1" applyBorder="1" applyAlignment="1">
      <alignment horizontal="right"/>
    </xf>
    <xf numFmtId="168" fontId="7" fillId="7" borderId="9" xfId="0" applyNumberFormat="1" applyFont="1" applyFill="1" applyBorder="1"/>
    <xf numFmtId="168" fontId="7" fillId="5" borderId="10" xfId="0" applyNumberFormat="1" applyFont="1" applyFill="1" applyBorder="1"/>
    <xf numFmtId="168" fontId="7" fillId="5" borderId="1" xfId="0" applyNumberFormat="1" applyFont="1" applyFill="1" applyBorder="1"/>
    <xf numFmtId="169" fontId="8" fillId="8" borderId="1" xfId="0" applyNumberFormat="1" applyFont="1" applyFill="1" applyBorder="1" applyAlignment="1">
      <alignment horizontal="right"/>
    </xf>
    <xf numFmtId="169" fontId="8" fillId="8" borderId="4" xfId="0" applyNumberFormat="1" applyFont="1" applyFill="1" applyBorder="1" applyAlignment="1">
      <alignment horizontal="right"/>
    </xf>
    <xf numFmtId="169" fontId="8" fillId="5" borderId="1" xfId="0" applyNumberFormat="1" applyFont="1" applyFill="1" applyBorder="1" applyAlignment="1">
      <alignment horizontal="right"/>
    </xf>
    <xf numFmtId="169" fontId="8" fillId="5" borderId="4" xfId="0" applyNumberFormat="1" applyFont="1" applyFill="1" applyBorder="1" applyAlignment="1">
      <alignment horizontal="right"/>
    </xf>
    <xf numFmtId="170" fontId="8" fillId="2" borderId="1" xfId="0" applyNumberFormat="1" applyFont="1" applyFill="1" applyBorder="1" applyAlignment="1">
      <alignment horizontal="right"/>
    </xf>
    <xf numFmtId="0" fontId="2" fillId="0" borderId="0" xfId="0" applyFont="1"/>
    <xf numFmtId="171" fontId="9" fillId="0" borderId="0" xfId="0" applyNumberFormat="1" applyFont="1" applyAlignment="1">
      <alignment horizontal="right"/>
    </xf>
    <xf numFmtId="166" fontId="8" fillId="9" borderId="1" xfId="0" applyNumberFormat="1" applyFont="1" applyFill="1" applyBorder="1" applyAlignment="1">
      <alignment horizontal="right"/>
    </xf>
    <xf numFmtId="0" fontId="3" fillId="0" borderId="0" xfId="0" applyFont="1" applyAlignment="1">
      <alignment horizontal="center" vertical="center"/>
    </xf>
    <xf numFmtId="168" fontId="7" fillId="7" borderId="1" xfId="0" applyNumberFormat="1" applyFont="1" applyFill="1" applyBorder="1"/>
    <xf numFmtId="40" fontId="7" fillId="5" borderId="5" xfId="0" applyNumberFormat="1" applyFont="1" applyFill="1" applyBorder="1" applyAlignment="1">
      <alignment horizontal="center" vertical="center"/>
    </xf>
    <xf numFmtId="40" fontId="7" fillId="5" borderId="6" xfId="0" applyNumberFormat="1" applyFont="1" applyFill="1" applyBorder="1" applyAlignment="1">
      <alignment horizontal="center" vertical="center"/>
    </xf>
    <xf numFmtId="40" fontId="6" fillId="4" borderId="0" xfId="0" applyNumberFormat="1" applyFont="1" applyFill="1" applyAlignment="1">
      <alignment horizontal="center" vertical="center"/>
    </xf>
  </cellXfs>
  <cellStyles count="2">
    <cellStyle name="Normal" xfId="0" builtinId="0"/>
    <cellStyle name="Normal 4" xfId="1"/>
  </cellStyles>
  <dxfs count="14"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_ ;[Red]\-#,##0\ "/>
      <border diagonalUp="0" diagonalDown="0">
        <left style="double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 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</xdr:row>
          <xdr:rowOff>180975</xdr:rowOff>
        </xdr:from>
        <xdr:to>
          <xdr:col>0</xdr:col>
          <xdr:colOff>1533525</xdr:colOff>
          <xdr:row>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2" totalsRowShown="0">
  <autoFilter ref="A1:G32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sDailyTable" displayName="MsDailyTable" ref="B10:I73" totalsRowShown="0" headerRowDxfId="8">
  <autoFilter ref="B10:I73"/>
  <tableColumns count="8">
    <tableColumn id="1" name="PrevBalance" dataDxfId="7"/>
    <tableColumn id="2" name="BankName" dataDxfId="6"/>
    <tableColumn id="3" name="CurrencyId" dataDxfId="5"/>
    <tableColumn id="4" name="FromTo" dataDxfId="4"/>
    <tableColumn id="5" name="Description" dataDxfId="3"/>
    <tableColumn id="6" name="Dcc" dataDxfId="2"/>
    <tableColumn id="8" name="Activity" dataDxfId="1"/>
    <tableColumn id="9" name="NewBalanc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18" sqref="A18"/>
    </sheetView>
  </sheetViews>
  <sheetFormatPr defaultRowHeight="15" x14ac:dyDescent="0.25"/>
  <cols>
    <col min="1" max="1" width="27.140625" customWidth="1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247650</xdr:colOff>
                    <xdr:row>3</xdr:row>
                    <xdr:rowOff>180975</xdr:rowOff>
                  </from>
                  <to>
                    <xdr:col>0</xdr:col>
                    <xdr:colOff>1533525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"/>
  <sheetViews>
    <sheetView workbookViewId="0">
      <selection activeCell="F27" sqref="F27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20</v>
      </c>
      <c r="B1" t="s">
        <v>21</v>
      </c>
      <c r="C1" t="s">
        <v>22</v>
      </c>
      <c r="D1" t="s">
        <v>23</v>
      </c>
      <c r="E1" t="s">
        <v>0</v>
      </c>
      <c r="F1" t="s">
        <v>24</v>
      </c>
      <c r="G1" t="s">
        <v>25</v>
      </c>
    </row>
    <row r="2" spans="1:7" x14ac:dyDescent="0.25">
      <c r="A2" t="s">
        <v>38</v>
      </c>
      <c r="B2" t="s">
        <v>39</v>
      </c>
      <c r="C2" t="s">
        <v>38</v>
      </c>
      <c r="D2" t="s">
        <v>28</v>
      </c>
      <c r="E2" t="s">
        <v>11</v>
      </c>
      <c r="F2" t="s">
        <v>72</v>
      </c>
    </row>
    <row r="3" spans="1:7" x14ac:dyDescent="0.25">
      <c r="A3" t="s">
        <v>38</v>
      </c>
      <c r="B3" t="s">
        <v>39</v>
      </c>
      <c r="C3" t="s">
        <v>38</v>
      </c>
      <c r="D3" t="s">
        <v>28</v>
      </c>
      <c r="E3" t="s">
        <v>40</v>
      </c>
      <c r="F3" t="s">
        <v>72</v>
      </c>
    </row>
    <row r="4" spans="1:7" x14ac:dyDescent="0.25">
      <c r="A4" t="s">
        <v>38</v>
      </c>
      <c r="B4" t="s">
        <v>39</v>
      </c>
      <c r="C4" t="s">
        <v>38</v>
      </c>
      <c r="D4" t="s">
        <v>28</v>
      </c>
      <c r="E4" t="s">
        <v>6</v>
      </c>
      <c r="F4" t="s">
        <v>72</v>
      </c>
    </row>
    <row r="5" spans="1:7" x14ac:dyDescent="0.25">
      <c r="A5" t="s">
        <v>1</v>
      </c>
      <c r="B5" t="s">
        <v>41</v>
      </c>
      <c r="C5" t="s">
        <v>26</v>
      </c>
      <c r="D5" t="s">
        <v>28</v>
      </c>
      <c r="E5" t="s">
        <v>6</v>
      </c>
      <c r="F5" t="s">
        <v>72</v>
      </c>
    </row>
    <row r="6" spans="1:7" x14ac:dyDescent="0.25">
      <c r="A6" t="s">
        <v>1</v>
      </c>
      <c r="B6" t="s">
        <v>42</v>
      </c>
      <c r="C6" t="s">
        <v>26</v>
      </c>
      <c r="D6" t="s">
        <v>28</v>
      </c>
      <c r="E6" t="s">
        <v>11</v>
      </c>
      <c r="F6" t="s">
        <v>72</v>
      </c>
    </row>
    <row r="7" spans="1:7" x14ac:dyDescent="0.25">
      <c r="A7" t="s">
        <v>1</v>
      </c>
      <c r="B7" t="s">
        <v>2</v>
      </c>
      <c r="C7" t="s">
        <v>26</v>
      </c>
      <c r="D7" t="s">
        <v>28</v>
      </c>
      <c r="E7" t="s">
        <v>3</v>
      </c>
      <c r="F7" t="s">
        <v>72</v>
      </c>
    </row>
    <row r="8" spans="1:7" x14ac:dyDescent="0.25">
      <c r="A8" t="s">
        <v>43</v>
      </c>
      <c r="B8" t="s">
        <v>44</v>
      </c>
      <c r="C8" t="s">
        <v>49</v>
      </c>
      <c r="D8" t="s">
        <v>28</v>
      </c>
      <c r="E8" t="s">
        <v>6</v>
      </c>
      <c r="F8" t="s">
        <v>72</v>
      </c>
    </row>
    <row r="9" spans="1:7" x14ac:dyDescent="0.25">
      <c r="A9" t="s">
        <v>43</v>
      </c>
      <c r="B9" t="s">
        <v>45</v>
      </c>
      <c r="C9" t="s">
        <v>49</v>
      </c>
      <c r="D9" t="s">
        <v>48</v>
      </c>
      <c r="E9" t="s">
        <v>6</v>
      </c>
      <c r="F9" t="s">
        <v>72</v>
      </c>
    </row>
    <row r="10" spans="1:7" x14ac:dyDescent="0.25">
      <c r="A10" t="s">
        <v>43</v>
      </c>
      <c r="B10" t="s">
        <v>46</v>
      </c>
      <c r="C10" t="s">
        <v>49</v>
      </c>
      <c r="D10" t="s">
        <v>28</v>
      </c>
      <c r="E10" t="s">
        <v>11</v>
      </c>
      <c r="F10" t="s">
        <v>72</v>
      </c>
    </row>
    <row r="11" spans="1:7" x14ac:dyDescent="0.25">
      <c r="A11" t="s">
        <v>43</v>
      </c>
      <c r="B11" t="s">
        <v>47</v>
      </c>
      <c r="C11" t="s">
        <v>49</v>
      </c>
      <c r="D11" t="s">
        <v>28</v>
      </c>
      <c r="E11" t="s">
        <v>40</v>
      </c>
      <c r="F11" t="s">
        <v>72</v>
      </c>
    </row>
    <row r="12" spans="1:7" x14ac:dyDescent="0.25">
      <c r="A12" t="s">
        <v>50</v>
      </c>
      <c r="B12" t="s">
        <v>51</v>
      </c>
      <c r="C12" t="s">
        <v>27</v>
      </c>
      <c r="D12" t="s">
        <v>50</v>
      </c>
      <c r="E12" t="s">
        <v>6</v>
      </c>
      <c r="F12" t="s">
        <v>72</v>
      </c>
    </row>
    <row r="13" spans="1:7" x14ac:dyDescent="0.25">
      <c r="A13" t="s">
        <v>4</v>
      </c>
      <c r="B13" t="s">
        <v>39</v>
      </c>
      <c r="C13" t="s">
        <v>27</v>
      </c>
      <c r="D13" t="s">
        <v>52</v>
      </c>
      <c r="E13" t="s">
        <v>11</v>
      </c>
      <c r="F13" t="s">
        <v>72</v>
      </c>
    </row>
    <row r="14" spans="1:7" x14ac:dyDescent="0.25">
      <c r="A14" t="s">
        <v>4</v>
      </c>
      <c r="B14" t="s">
        <v>5</v>
      </c>
      <c r="C14" t="s">
        <v>27</v>
      </c>
      <c r="D14" t="s">
        <v>29</v>
      </c>
      <c r="E14" t="s">
        <v>6</v>
      </c>
      <c r="F14" t="s">
        <v>70</v>
      </c>
    </row>
    <row r="15" spans="1:7" x14ac:dyDescent="0.25">
      <c r="A15" t="s">
        <v>4</v>
      </c>
      <c r="B15" t="s">
        <v>53</v>
      </c>
      <c r="C15" t="s">
        <v>27</v>
      </c>
      <c r="D15" t="s">
        <v>62</v>
      </c>
      <c r="E15" t="s">
        <v>6</v>
      </c>
      <c r="F15" t="s">
        <v>70</v>
      </c>
    </row>
    <row r="16" spans="1:7" x14ac:dyDescent="0.25">
      <c r="A16" t="s">
        <v>4</v>
      </c>
      <c r="B16" t="s">
        <v>54</v>
      </c>
      <c r="C16" t="s">
        <v>27</v>
      </c>
      <c r="D16" t="s">
        <v>63</v>
      </c>
      <c r="E16" t="s">
        <v>6</v>
      </c>
      <c r="F16" t="s">
        <v>70</v>
      </c>
    </row>
    <row r="17" spans="1:7" x14ac:dyDescent="0.25">
      <c r="A17" t="s">
        <v>4</v>
      </c>
      <c r="B17" t="s">
        <v>7</v>
      </c>
      <c r="C17" t="s">
        <v>27</v>
      </c>
      <c r="D17" t="s">
        <v>30</v>
      </c>
      <c r="E17" t="s">
        <v>6</v>
      </c>
      <c r="F17" t="s">
        <v>69</v>
      </c>
    </row>
    <row r="18" spans="1:7" x14ac:dyDescent="0.25">
      <c r="A18" t="s">
        <v>4</v>
      </c>
      <c r="B18" t="s">
        <v>8</v>
      </c>
      <c r="C18" t="s">
        <v>27</v>
      </c>
      <c r="D18" t="s">
        <v>31</v>
      </c>
      <c r="E18" t="s">
        <v>6</v>
      </c>
      <c r="F18" t="s">
        <v>69</v>
      </c>
    </row>
    <row r="19" spans="1:7" x14ac:dyDescent="0.25">
      <c r="A19" t="s">
        <v>4</v>
      </c>
      <c r="B19" t="s">
        <v>55</v>
      </c>
      <c r="C19" t="s">
        <v>27</v>
      </c>
      <c r="D19" t="s">
        <v>67</v>
      </c>
      <c r="E19" t="s">
        <v>6</v>
      </c>
      <c r="F19" t="s">
        <v>71</v>
      </c>
    </row>
    <row r="20" spans="1:7" x14ac:dyDescent="0.25">
      <c r="A20" t="s">
        <v>4</v>
      </c>
      <c r="B20" t="s">
        <v>9</v>
      </c>
      <c r="C20" t="s">
        <v>27</v>
      </c>
      <c r="D20" t="s">
        <v>37</v>
      </c>
      <c r="E20" t="s">
        <v>6</v>
      </c>
      <c r="F20" t="s">
        <v>71</v>
      </c>
    </row>
    <row r="21" spans="1:7" x14ac:dyDescent="0.25">
      <c r="A21" t="s">
        <v>4</v>
      </c>
      <c r="B21" t="s">
        <v>56</v>
      </c>
      <c r="C21" t="s">
        <v>27</v>
      </c>
      <c r="D21" t="s">
        <v>64</v>
      </c>
      <c r="E21" t="s">
        <v>6</v>
      </c>
      <c r="F21" t="s">
        <v>71</v>
      </c>
    </row>
    <row r="22" spans="1:7" x14ac:dyDescent="0.25">
      <c r="A22" t="s">
        <v>4</v>
      </c>
      <c r="B22" t="s">
        <v>57</v>
      </c>
      <c r="C22" t="s">
        <v>27</v>
      </c>
      <c r="D22" t="s">
        <v>66</v>
      </c>
      <c r="E22" t="s">
        <v>6</v>
      </c>
      <c r="F22" t="s">
        <v>71</v>
      </c>
    </row>
    <row r="23" spans="1:7" x14ac:dyDescent="0.25">
      <c r="A23" t="s">
        <v>4</v>
      </c>
      <c r="B23" t="s">
        <v>58</v>
      </c>
      <c r="C23" t="s">
        <v>27</v>
      </c>
      <c r="D23" t="s">
        <v>65</v>
      </c>
      <c r="E23" t="s">
        <v>6</v>
      </c>
      <c r="F23" t="s">
        <v>71</v>
      </c>
    </row>
    <row r="24" spans="1:7" x14ac:dyDescent="0.25">
      <c r="A24" t="s">
        <v>4</v>
      </c>
      <c r="B24" t="s">
        <v>10</v>
      </c>
      <c r="C24" t="s">
        <v>36</v>
      </c>
      <c r="D24" t="s">
        <v>35</v>
      </c>
      <c r="E24" t="s">
        <v>11</v>
      </c>
      <c r="F24" t="s">
        <v>71</v>
      </c>
    </row>
    <row r="25" spans="1:7" x14ac:dyDescent="0.25">
      <c r="A25" t="s">
        <v>4</v>
      </c>
      <c r="B25" t="s">
        <v>59</v>
      </c>
      <c r="C25" t="s">
        <v>27</v>
      </c>
      <c r="D25" t="s">
        <v>68</v>
      </c>
      <c r="E25" t="s">
        <v>40</v>
      </c>
      <c r="F25" t="s">
        <v>71</v>
      </c>
    </row>
    <row r="26" spans="1:7" x14ac:dyDescent="0.25">
      <c r="A26" t="s">
        <v>12</v>
      </c>
      <c r="B26" t="s">
        <v>13</v>
      </c>
      <c r="C26" t="s">
        <v>12</v>
      </c>
      <c r="D26" t="s">
        <v>32</v>
      </c>
      <c r="E26" t="s">
        <v>6</v>
      </c>
      <c r="F26" t="s">
        <v>71</v>
      </c>
    </row>
    <row r="27" spans="1:7" x14ac:dyDescent="0.25">
      <c r="A27" t="s">
        <v>14</v>
      </c>
      <c r="B27" t="s">
        <v>60</v>
      </c>
      <c r="C27" t="s">
        <v>14</v>
      </c>
      <c r="D27" t="s">
        <v>60</v>
      </c>
      <c r="E27" t="s">
        <v>6</v>
      </c>
      <c r="F27" t="s">
        <v>72</v>
      </c>
    </row>
    <row r="28" spans="1:7" x14ac:dyDescent="0.25">
      <c r="A28" t="s">
        <v>14</v>
      </c>
      <c r="B28" t="s">
        <v>15</v>
      </c>
      <c r="C28" t="s">
        <v>14</v>
      </c>
      <c r="D28" t="s">
        <v>34</v>
      </c>
      <c r="E28" t="s">
        <v>6</v>
      </c>
      <c r="F28" t="s">
        <v>69</v>
      </c>
    </row>
    <row r="29" spans="1:7" x14ac:dyDescent="0.25">
      <c r="A29" t="s">
        <v>14</v>
      </c>
      <c r="B29" t="s">
        <v>16</v>
      </c>
      <c r="C29" t="s">
        <v>14</v>
      </c>
      <c r="D29" t="s">
        <v>33</v>
      </c>
      <c r="E29" t="s">
        <v>6</v>
      </c>
      <c r="F29" t="s">
        <v>69</v>
      </c>
    </row>
    <row r="30" spans="1:7" x14ac:dyDescent="0.25">
      <c r="A30" t="s">
        <v>17</v>
      </c>
      <c r="B30" t="s">
        <v>18</v>
      </c>
      <c r="E30" t="s">
        <v>6</v>
      </c>
      <c r="G30">
        <v>1</v>
      </c>
    </row>
    <row r="31" spans="1:7" x14ac:dyDescent="0.25">
      <c r="A31" t="s">
        <v>17</v>
      </c>
      <c r="B31" t="s">
        <v>61</v>
      </c>
      <c r="E31" t="s">
        <v>6</v>
      </c>
      <c r="G31">
        <v>1</v>
      </c>
    </row>
    <row r="32" spans="1:7" x14ac:dyDescent="0.25">
      <c r="A32" t="s">
        <v>17</v>
      </c>
      <c r="B32" t="s">
        <v>19</v>
      </c>
      <c r="C32" t="s">
        <v>27</v>
      </c>
      <c r="D32" t="s">
        <v>32</v>
      </c>
      <c r="E32" t="s">
        <v>6</v>
      </c>
      <c r="F32" t="s">
        <v>69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73"/>
  <sheetViews>
    <sheetView tabSelected="1" zoomScale="90" zoomScaleNormal="90" workbookViewId="0">
      <selection activeCell="E17" sqref="E17"/>
    </sheetView>
  </sheetViews>
  <sheetFormatPr defaultRowHeight="15" x14ac:dyDescent="0.25"/>
  <cols>
    <col min="2" max="2" width="17" customWidth="1"/>
    <col min="3" max="4" width="13.42578125" bestFit="1" customWidth="1"/>
    <col min="5" max="5" width="42.140625" customWidth="1"/>
    <col min="6" max="6" width="44.140625" customWidth="1"/>
    <col min="7" max="7" width="22.140625" customWidth="1"/>
    <col min="8" max="8" width="16.28515625" customWidth="1"/>
    <col min="9" max="9" width="23.5703125" customWidth="1"/>
    <col min="10" max="10" width="16.5703125" bestFit="1" customWidth="1"/>
    <col min="11" max="11" width="12.28515625" bestFit="1" customWidth="1"/>
    <col min="12" max="12" width="16.5703125" bestFit="1" customWidth="1"/>
  </cols>
  <sheetData>
    <row r="1" spans="2:9" ht="16.5" thickBot="1" x14ac:dyDescent="0.3">
      <c r="E1" s="7"/>
      <c r="F1" s="8"/>
      <c r="G1" s="9">
        <v>43024</v>
      </c>
      <c r="H1" s="8"/>
      <c r="I1" s="8"/>
    </row>
    <row r="2" spans="2:9" ht="15.75" thickBot="1" x14ac:dyDescent="0.3">
      <c r="E2" s="29" t="s">
        <v>146</v>
      </c>
      <c r="F2" s="29" t="s">
        <v>147</v>
      </c>
      <c r="G2" s="29" t="s">
        <v>148</v>
      </c>
      <c r="H2" s="27" t="s">
        <v>149</v>
      </c>
      <c r="I2" s="28" t="s">
        <v>150</v>
      </c>
    </row>
    <row r="3" spans="2:9" x14ac:dyDescent="0.25">
      <c r="E3" s="10">
        <f>SUMIFS(MsDailyTable[PrevBalance],MsDailyTable[CurrencyId],"USD")</f>
        <v>51352.54</v>
      </c>
      <c r="F3" s="10">
        <f>G3-E3</f>
        <v>-49407.49</v>
      </c>
      <c r="G3" s="10">
        <f>SUMIFS(MsDailyTable[NewBalance],MsDailyTable[CurrencyId],"USD")</f>
        <v>1945.05</v>
      </c>
      <c r="H3" s="11"/>
      <c r="I3" s="12">
        <f>G3+H3</f>
        <v>1945.05</v>
      </c>
    </row>
    <row r="4" spans="2:9" x14ac:dyDescent="0.25">
      <c r="E4" s="26">
        <f>SUMIFS(MsDailyTable[PrevBalance],MsDailyTable[CurrencyId],"EUR")</f>
        <v>2602.88</v>
      </c>
      <c r="F4" s="13">
        <f>G4-E4</f>
        <v>-427435.59</v>
      </c>
      <c r="G4" s="14">
        <f>SUMIFS(MsDailyTable[NewBalance],MsDailyTable[CurrencyId],"EUR")</f>
        <v>-424832.71</v>
      </c>
      <c r="H4" s="15"/>
      <c r="I4" s="16">
        <f t="shared" ref="I4:I5" si="0">G4+H4</f>
        <v>-424832.71</v>
      </c>
    </row>
    <row r="5" spans="2:9" x14ac:dyDescent="0.25">
      <c r="E5" s="17">
        <f>SUMIFS(MsDailyTable[PrevBalance],MsDailyTable[CurrencyId],"GBP")</f>
        <v>149912.43</v>
      </c>
      <c r="F5" s="18">
        <f>G5-E5</f>
        <v>3187.5</v>
      </c>
      <c r="G5" s="17">
        <f>SUMIFS(MsDailyTable[NewBalance],MsDailyTable[CurrencyId],"GBP")</f>
        <v>153099.93</v>
      </c>
      <c r="H5" s="19"/>
      <c r="I5" s="20">
        <f t="shared" si="0"/>
        <v>153099.93</v>
      </c>
    </row>
    <row r="6" spans="2:9" x14ac:dyDescent="0.25">
      <c r="E6" s="21">
        <f>SUMIFS(MsDailyTable[PrevBalance],MsDailyTable[CurrencyId],"CHF")</f>
        <v>0</v>
      </c>
      <c r="F6" s="21">
        <f>G6-E6</f>
        <v>0</v>
      </c>
      <c r="G6" s="21">
        <f>SUMIFS(MsDailyTable[NewBalance],MsDailyTable[CurrencyId],"CHF")</f>
        <v>0</v>
      </c>
      <c r="H6" s="22"/>
      <c r="I6" s="23"/>
    </row>
    <row r="7" spans="2:9" x14ac:dyDescent="0.25">
      <c r="E7" s="24">
        <f>SUMIFS(MsDailyTable[PrevBalance],MsDailyTable[CurrencyId],"HKD")</f>
        <v>0</v>
      </c>
      <c r="F7" s="24">
        <f>G7-E7</f>
        <v>0</v>
      </c>
      <c r="G7" s="24">
        <f>SUMIFS(MsDailyTable[NewBalance],MsDailyTable[CurrencyId],"HKD")</f>
        <v>0</v>
      </c>
      <c r="H7" s="22"/>
      <c r="I7" s="23"/>
    </row>
    <row r="10" spans="2:9" ht="23.25" customHeight="1" x14ac:dyDescent="0.25">
      <c r="B10" s="25" t="s">
        <v>73</v>
      </c>
      <c r="C10" s="25" t="s">
        <v>83</v>
      </c>
      <c r="D10" s="25" t="s">
        <v>84</v>
      </c>
      <c r="E10" s="25" t="s">
        <v>85</v>
      </c>
      <c r="F10" s="25" t="s">
        <v>74</v>
      </c>
      <c r="G10" s="25" t="s">
        <v>86</v>
      </c>
      <c r="H10" s="25" t="s">
        <v>75</v>
      </c>
      <c r="I10" s="25" t="s">
        <v>76</v>
      </c>
    </row>
    <row r="11" spans="2:9" ht="15.75" x14ac:dyDescent="0.25">
      <c r="B11" s="6">
        <v>0</v>
      </c>
      <c r="C11" s="5" t="s">
        <v>77</v>
      </c>
      <c r="D11" s="2" t="s">
        <v>6</v>
      </c>
      <c r="E11" s="2" t="s">
        <v>87</v>
      </c>
      <c r="F11" s="2" t="s">
        <v>88</v>
      </c>
      <c r="G11" s="3">
        <v>-261074.9</v>
      </c>
      <c r="H11" s="4">
        <v>-427044.12</v>
      </c>
      <c r="I11" s="1">
        <v>-427044.12</v>
      </c>
    </row>
    <row r="12" spans="2:9" ht="15.75" x14ac:dyDescent="0.25">
      <c r="B12" s="6"/>
      <c r="C12" s="5" t="s">
        <v>77</v>
      </c>
      <c r="D12" s="2" t="s">
        <v>6</v>
      </c>
      <c r="E12" s="2" t="s">
        <v>89</v>
      </c>
      <c r="F12" s="2" t="s">
        <v>90</v>
      </c>
      <c r="G12" s="3">
        <v>-310</v>
      </c>
      <c r="H12" s="4"/>
      <c r="I12" s="1"/>
    </row>
    <row r="13" spans="2:9" ht="15.75" x14ac:dyDescent="0.25">
      <c r="B13" s="6"/>
      <c r="C13" s="5" t="s">
        <v>77</v>
      </c>
      <c r="D13" s="2" t="s">
        <v>6</v>
      </c>
      <c r="E13" s="2" t="s">
        <v>91</v>
      </c>
      <c r="F13" s="2" t="s">
        <v>92</v>
      </c>
      <c r="G13" s="3">
        <v>258.68</v>
      </c>
      <c r="H13" s="4"/>
      <c r="I13" s="1"/>
    </row>
    <row r="14" spans="2:9" ht="15.75" x14ac:dyDescent="0.25">
      <c r="B14" s="6"/>
      <c r="C14" s="5" t="s">
        <v>77</v>
      </c>
      <c r="D14" s="2" t="s">
        <v>6</v>
      </c>
      <c r="E14" s="2" t="s">
        <v>79</v>
      </c>
      <c r="F14" s="2" t="s">
        <v>93</v>
      </c>
      <c r="G14" s="3">
        <v>-75</v>
      </c>
      <c r="H14" s="4"/>
      <c r="I14" s="1"/>
    </row>
    <row r="15" spans="2:9" ht="15.75" x14ac:dyDescent="0.25">
      <c r="B15" s="6"/>
      <c r="C15" s="5" t="s">
        <v>77</v>
      </c>
      <c r="D15" s="2" t="s">
        <v>6</v>
      </c>
      <c r="E15" s="2" t="s">
        <v>94</v>
      </c>
      <c r="F15" s="2" t="s">
        <v>95</v>
      </c>
      <c r="G15" s="3">
        <v>-330</v>
      </c>
      <c r="H15" s="4"/>
      <c r="I15" s="1"/>
    </row>
    <row r="16" spans="2:9" ht="15.75" x14ac:dyDescent="0.25">
      <c r="B16" s="6"/>
      <c r="C16" s="5" t="s">
        <v>77</v>
      </c>
      <c r="D16" s="2" t="s">
        <v>6</v>
      </c>
      <c r="E16" s="2" t="s">
        <v>96</v>
      </c>
      <c r="F16" s="2" t="s">
        <v>97</v>
      </c>
      <c r="G16" s="3">
        <v>-1650</v>
      </c>
      <c r="H16" s="4"/>
      <c r="I16" s="1"/>
    </row>
    <row r="17" spans="2:9" ht="15.75" x14ac:dyDescent="0.25">
      <c r="B17" s="6"/>
      <c r="C17" s="5" t="s">
        <v>77</v>
      </c>
      <c r="D17" s="2" t="s">
        <v>6</v>
      </c>
      <c r="E17" s="2" t="s">
        <v>78</v>
      </c>
      <c r="F17" s="2" t="s">
        <v>80</v>
      </c>
      <c r="G17" s="3">
        <v>31000</v>
      </c>
      <c r="H17" s="4"/>
      <c r="I17" s="1"/>
    </row>
    <row r="18" spans="2:9" ht="15.75" x14ac:dyDescent="0.25">
      <c r="B18" s="6"/>
      <c r="C18" s="5" t="s">
        <v>77</v>
      </c>
      <c r="D18" s="2" t="s">
        <v>6</v>
      </c>
      <c r="E18" s="2" t="s">
        <v>98</v>
      </c>
      <c r="F18" s="2" t="s">
        <v>99</v>
      </c>
      <c r="G18" s="3">
        <v>-267617.95</v>
      </c>
      <c r="H18" s="4"/>
      <c r="I18" s="1"/>
    </row>
    <row r="19" spans="2:9" ht="15.75" x14ac:dyDescent="0.25">
      <c r="B19" s="6"/>
      <c r="C19" s="5" t="s">
        <v>77</v>
      </c>
      <c r="D19" s="2" t="s">
        <v>6</v>
      </c>
      <c r="E19" s="2" t="s">
        <v>100</v>
      </c>
      <c r="F19" s="2" t="s">
        <v>101</v>
      </c>
      <c r="G19" s="3">
        <v>-440</v>
      </c>
      <c r="H19" s="4"/>
      <c r="I19" s="1"/>
    </row>
    <row r="20" spans="2:9" ht="15.75" x14ac:dyDescent="0.25">
      <c r="B20" s="6"/>
      <c r="C20" s="5" t="s">
        <v>77</v>
      </c>
      <c r="D20" s="2" t="s">
        <v>6</v>
      </c>
      <c r="E20" s="2" t="s">
        <v>102</v>
      </c>
      <c r="F20" s="2" t="s">
        <v>103</v>
      </c>
      <c r="G20" s="3">
        <v>-1062</v>
      </c>
      <c r="H20" s="4"/>
      <c r="I20" s="1"/>
    </row>
    <row r="21" spans="2:9" ht="15.75" x14ac:dyDescent="0.25">
      <c r="B21" s="6"/>
      <c r="C21" s="5" t="s">
        <v>77</v>
      </c>
      <c r="D21" s="2" t="s">
        <v>6</v>
      </c>
      <c r="E21" s="2" t="s">
        <v>78</v>
      </c>
      <c r="F21" s="2" t="s">
        <v>80</v>
      </c>
      <c r="G21" s="3">
        <v>185000</v>
      </c>
      <c r="H21" s="4"/>
      <c r="I21" s="1"/>
    </row>
    <row r="22" spans="2:9" ht="15.75" x14ac:dyDescent="0.25">
      <c r="B22" s="6"/>
      <c r="C22" s="5" t="s">
        <v>77</v>
      </c>
      <c r="D22" s="2" t="s">
        <v>6</v>
      </c>
      <c r="E22" s="2" t="s">
        <v>87</v>
      </c>
      <c r="F22" s="2" t="s">
        <v>88</v>
      </c>
      <c r="G22" s="3">
        <v>-178542.6</v>
      </c>
      <c r="H22" s="4"/>
      <c r="I22" s="1"/>
    </row>
    <row r="23" spans="2:9" ht="15.75" x14ac:dyDescent="0.25">
      <c r="B23" s="6"/>
      <c r="C23" s="5" t="s">
        <v>77</v>
      </c>
      <c r="D23" s="2" t="s">
        <v>6</v>
      </c>
      <c r="E23" s="2" t="s">
        <v>102</v>
      </c>
      <c r="F23" s="2" t="s">
        <v>104</v>
      </c>
      <c r="G23" s="3">
        <v>-2162.0100000000002</v>
      </c>
      <c r="H23" s="4"/>
      <c r="I23" s="1"/>
    </row>
    <row r="24" spans="2:9" ht="15.75" x14ac:dyDescent="0.25">
      <c r="B24" s="6"/>
      <c r="C24" s="5" t="s">
        <v>77</v>
      </c>
      <c r="D24" s="2" t="s">
        <v>6</v>
      </c>
      <c r="E24" s="2" t="s">
        <v>105</v>
      </c>
      <c r="F24" s="2" t="s">
        <v>106</v>
      </c>
      <c r="G24" s="3">
        <v>-4780</v>
      </c>
      <c r="H24" s="4"/>
      <c r="I24" s="1"/>
    </row>
    <row r="25" spans="2:9" ht="15.75" x14ac:dyDescent="0.25">
      <c r="B25" s="6"/>
      <c r="C25" s="5" t="s">
        <v>77</v>
      </c>
      <c r="D25" s="2" t="s">
        <v>6</v>
      </c>
      <c r="E25" s="2" t="s">
        <v>81</v>
      </c>
      <c r="F25" s="2" t="s">
        <v>106</v>
      </c>
      <c r="G25" s="3">
        <v>-3592.15</v>
      </c>
      <c r="H25" s="4"/>
      <c r="I25" s="1"/>
    </row>
    <row r="26" spans="2:9" ht="15.75" x14ac:dyDescent="0.25">
      <c r="B26" s="6"/>
      <c r="C26" s="5" t="s">
        <v>77</v>
      </c>
      <c r="D26" s="2" t="s">
        <v>6</v>
      </c>
      <c r="E26" s="2" t="s">
        <v>107</v>
      </c>
      <c r="F26" s="2" t="s">
        <v>108</v>
      </c>
      <c r="G26" s="3">
        <v>-3010</v>
      </c>
      <c r="H26" s="4"/>
      <c r="I26" s="1"/>
    </row>
    <row r="27" spans="2:9" ht="15.75" x14ac:dyDescent="0.25">
      <c r="B27" s="6"/>
      <c r="C27" s="5" t="s">
        <v>77</v>
      </c>
      <c r="D27" s="2" t="s">
        <v>6</v>
      </c>
      <c r="E27" s="2" t="s">
        <v>78</v>
      </c>
      <c r="F27" s="2" t="s">
        <v>80</v>
      </c>
      <c r="G27" s="3">
        <v>6700</v>
      </c>
      <c r="H27" s="4"/>
      <c r="I27" s="1"/>
    </row>
    <row r="28" spans="2:9" ht="15.75" x14ac:dyDescent="0.25">
      <c r="B28" s="6"/>
      <c r="C28" s="5" t="s">
        <v>77</v>
      </c>
      <c r="D28" s="2" t="s">
        <v>6</v>
      </c>
      <c r="E28" s="2" t="s">
        <v>109</v>
      </c>
      <c r="F28" s="2" t="s">
        <v>110</v>
      </c>
      <c r="G28" s="3">
        <v>14426.56</v>
      </c>
      <c r="H28" s="4"/>
      <c r="I28" s="1"/>
    </row>
    <row r="29" spans="2:9" ht="15.75" x14ac:dyDescent="0.25">
      <c r="B29" s="6"/>
      <c r="C29" s="5" t="s">
        <v>77</v>
      </c>
      <c r="D29" s="2" t="s">
        <v>6</v>
      </c>
      <c r="E29" s="2" t="s">
        <v>79</v>
      </c>
      <c r="F29" s="2" t="s">
        <v>93</v>
      </c>
      <c r="G29" s="3">
        <v>-40</v>
      </c>
      <c r="H29" s="4"/>
      <c r="I29" s="1"/>
    </row>
    <row r="30" spans="2:9" ht="15.75" x14ac:dyDescent="0.25">
      <c r="B30" s="6"/>
      <c r="C30" s="5" t="s">
        <v>77</v>
      </c>
      <c r="D30" s="2" t="s">
        <v>6</v>
      </c>
      <c r="E30" s="2" t="s">
        <v>111</v>
      </c>
      <c r="F30" s="2" t="s">
        <v>112</v>
      </c>
      <c r="G30" s="3">
        <v>-4250</v>
      </c>
      <c r="H30" s="4"/>
      <c r="I30" s="1"/>
    </row>
    <row r="31" spans="2:9" ht="15.75" x14ac:dyDescent="0.25">
      <c r="B31" s="6"/>
      <c r="C31" s="5" t="s">
        <v>77</v>
      </c>
      <c r="D31" s="2" t="s">
        <v>6</v>
      </c>
      <c r="E31" s="2" t="s">
        <v>94</v>
      </c>
      <c r="F31" s="2" t="s">
        <v>113</v>
      </c>
      <c r="G31" s="3">
        <v>-300</v>
      </c>
      <c r="H31" s="4"/>
      <c r="I31" s="1"/>
    </row>
    <row r="32" spans="2:9" ht="15.75" x14ac:dyDescent="0.25">
      <c r="B32" s="6"/>
      <c r="C32" s="5" t="s">
        <v>77</v>
      </c>
      <c r="D32" s="2" t="s">
        <v>6</v>
      </c>
      <c r="E32" s="2" t="s">
        <v>94</v>
      </c>
      <c r="F32" s="2" t="s">
        <v>114</v>
      </c>
      <c r="G32" s="3">
        <v>-150</v>
      </c>
      <c r="H32" s="4"/>
      <c r="I32" s="1"/>
    </row>
    <row r="33" spans="2:9" ht="15.75" x14ac:dyDescent="0.25">
      <c r="B33" s="6"/>
      <c r="C33" s="5" t="s">
        <v>77</v>
      </c>
      <c r="D33" s="2" t="s">
        <v>6</v>
      </c>
      <c r="E33" s="2" t="s">
        <v>115</v>
      </c>
      <c r="F33" s="2" t="s">
        <v>93</v>
      </c>
      <c r="G33" s="3">
        <v>20000</v>
      </c>
      <c r="H33" s="4"/>
      <c r="I33" s="1"/>
    </row>
    <row r="34" spans="2:9" ht="15.75" x14ac:dyDescent="0.25">
      <c r="B34" s="6"/>
      <c r="C34" s="5" t="s">
        <v>77</v>
      </c>
      <c r="D34" s="2" t="s">
        <v>6</v>
      </c>
      <c r="E34" s="2" t="s">
        <v>116</v>
      </c>
      <c r="F34" s="2" t="s">
        <v>93</v>
      </c>
      <c r="G34" s="3">
        <v>-20040</v>
      </c>
      <c r="H34" s="4"/>
      <c r="I34" s="1"/>
    </row>
    <row r="35" spans="2:9" ht="15.75" x14ac:dyDescent="0.25">
      <c r="B35" s="6"/>
      <c r="C35" s="5" t="s">
        <v>77</v>
      </c>
      <c r="D35" s="2" t="s">
        <v>6</v>
      </c>
      <c r="E35" s="2" t="s">
        <v>117</v>
      </c>
      <c r="F35" s="2" t="s">
        <v>118</v>
      </c>
      <c r="G35" s="3">
        <v>-200</v>
      </c>
      <c r="H35" s="4"/>
      <c r="I35" s="1"/>
    </row>
    <row r="36" spans="2:9" ht="15.75" x14ac:dyDescent="0.25">
      <c r="B36" s="6"/>
      <c r="C36" s="5" t="s">
        <v>77</v>
      </c>
      <c r="D36" s="2" t="s">
        <v>6</v>
      </c>
      <c r="E36" s="2" t="s">
        <v>119</v>
      </c>
      <c r="F36" s="2" t="s">
        <v>93</v>
      </c>
      <c r="G36" s="3">
        <v>264120.74</v>
      </c>
      <c r="H36" s="4"/>
      <c r="I36" s="1"/>
    </row>
    <row r="37" spans="2:9" ht="15.75" x14ac:dyDescent="0.25">
      <c r="B37" s="6"/>
      <c r="C37" s="5" t="s">
        <v>77</v>
      </c>
      <c r="D37" s="2" t="s">
        <v>6</v>
      </c>
      <c r="E37" s="2" t="s">
        <v>120</v>
      </c>
      <c r="F37" s="2" t="s">
        <v>88</v>
      </c>
      <c r="G37" s="3">
        <v>-264120.74</v>
      </c>
      <c r="H37" s="4"/>
      <c r="I37" s="1"/>
    </row>
    <row r="38" spans="2:9" ht="15.75" x14ac:dyDescent="0.25">
      <c r="B38" s="6"/>
      <c r="C38" s="5" t="s">
        <v>77</v>
      </c>
      <c r="D38" s="2" t="s">
        <v>6</v>
      </c>
      <c r="E38" s="2" t="s">
        <v>78</v>
      </c>
      <c r="F38" s="2" t="s">
        <v>121</v>
      </c>
      <c r="G38" s="3">
        <v>30000</v>
      </c>
      <c r="H38" s="4"/>
      <c r="I38" s="1"/>
    </row>
    <row r="39" spans="2:9" ht="15.75" x14ac:dyDescent="0.25">
      <c r="B39" s="6"/>
      <c r="C39" s="5" t="s">
        <v>77</v>
      </c>
      <c r="D39" s="2" t="s">
        <v>6</v>
      </c>
      <c r="E39" s="2" t="s">
        <v>122</v>
      </c>
      <c r="F39" s="2" t="s">
        <v>123</v>
      </c>
      <c r="G39" s="3">
        <v>-42540</v>
      </c>
      <c r="H39" s="4"/>
      <c r="I39" s="1"/>
    </row>
    <row r="40" spans="2:9" ht="15.75" x14ac:dyDescent="0.25">
      <c r="B40" s="6"/>
      <c r="C40" s="5" t="s">
        <v>77</v>
      </c>
      <c r="D40" s="2" t="s">
        <v>6</v>
      </c>
      <c r="E40" s="2" t="s">
        <v>79</v>
      </c>
      <c r="F40" s="2" t="s">
        <v>93</v>
      </c>
      <c r="G40" s="3">
        <v>-40</v>
      </c>
      <c r="H40" s="4"/>
      <c r="I40" s="1"/>
    </row>
    <row r="41" spans="2:9" ht="15.75" x14ac:dyDescent="0.25">
      <c r="B41" s="6"/>
      <c r="C41" s="5" t="s">
        <v>77</v>
      </c>
      <c r="D41" s="2" t="s">
        <v>6</v>
      </c>
      <c r="E41" s="2" t="s">
        <v>79</v>
      </c>
      <c r="F41" s="2" t="s">
        <v>93</v>
      </c>
      <c r="G41" s="3">
        <v>-40</v>
      </c>
      <c r="H41" s="4"/>
      <c r="I41" s="1"/>
    </row>
    <row r="42" spans="2:9" ht="15.75" x14ac:dyDescent="0.25">
      <c r="B42" s="6"/>
      <c r="C42" s="5" t="s">
        <v>77</v>
      </c>
      <c r="D42" s="2" t="s">
        <v>6</v>
      </c>
      <c r="E42" s="2" t="s">
        <v>124</v>
      </c>
      <c r="F42" s="2" t="s">
        <v>125</v>
      </c>
      <c r="G42" s="3">
        <v>28370.55</v>
      </c>
      <c r="H42" s="4"/>
      <c r="I42" s="1"/>
    </row>
    <row r="43" spans="2:9" ht="15.75" x14ac:dyDescent="0.25">
      <c r="B43" s="6"/>
      <c r="C43" s="5" t="s">
        <v>77</v>
      </c>
      <c r="D43" s="2" t="s">
        <v>6</v>
      </c>
      <c r="E43" s="2" t="s">
        <v>79</v>
      </c>
      <c r="F43" s="2" t="s">
        <v>93</v>
      </c>
      <c r="G43" s="3">
        <v>-40</v>
      </c>
      <c r="H43" s="4"/>
      <c r="I43" s="1"/>
    </row>
    <row r="44" spans="2:9" ht="15.75" x14ac:dyDescent="0.25">
      <c r="B44" s="6"/>
      <c r="C44" s="5" t="s">
        <v>77</v>
      </c>
      <c r="D44" s="2" t="s">
        <v>6</v>
      </c>
      <c r="E44" s="2" t="s">
        <v>79</v>
      </c>
      <c r="F44" s="2" t="s">
        <v>93</v>
      </c>
      <c r="G44" s="3">
        <v>-40</v>
      </c>
      <c r="H44" s="4"/>
      <c r="I44" s="1"/>
    </row>
    <row r="45" spans="2:9" ht="15.75" x14ac:dyDescent="0.25">
      <c r="B45" s="6"/>
      <c r="C45" s="5" t="s">
        <v>77</v>
      </c>
      <c r="D45" s="2" t="s">
        <v>6</v>
      </c>
      <c r="E45" s="2" t="s">
        <v>126</v>
      </c>
      <c r="F45" s="2" t="s">
        <v>93</v>
      </c>
      <c r="G45" s="3">
        <v>49500</v>
      </c>
      <c r="H45" s="4"/>
      <c r="I45" s="1"/>
    </row>
    <row r="46" spans="2:9" ht="15.75" x14ac:dyDescent="0.25">
      <c r="B46" s="6"/>
      <c r="C46" s="5" t="s">
        <v>77</v>
      </c>
      <c r="D46" s="2" t="s">
        <v>6</v>
      </c>
      <c r="E46" s="2" t="s">
        <v>127</v>
      </c>
      <c r="F46" s="2" t="s">
        <v>128</v>
      </c>
      <c r="G46" s="3">
        <v>26.7</v>
      </c>
      <c r="H46" s="4"/>
      <c r="I46" s="1"/>
    </row>
    <row r="47" spans="2:9" ht="15.75" x14ac:dyDescent="0.25">
      <c r="B47" s="6">
        <v>0</v>
      </c>
      <c r="C47" s="5" t="s">
        <v>77</v>
      </c>
      <c r="D47" s="2" t="s">
        <v>40</v>
      </c>
      <c r="E47" s="2" t="s">
        <v>78</v>
      </c>
      <c r="F47" s="2" t="s">
        <v>80</v>
      </c>
      <c r="G47" s="3">
        <v>1654.14</v>
      </c>
      <c r="H47" s="4">
        <v>335.28</v>
      </c>
      <c r="I47" s="1">
        <v>335.28</v>
      </c>
    </row>
    <row r="48" spans="2:9" ht="15.75" x14ac:dyDescent="0.25">
      <c r="B48" s="6"/>
      <c r="C48" s="5" t="s">
        <v>77</v>
      </c>
      <c r="D48" s="2" t="s">
        <v>40</v>
      </c>
      <c r="E48" s="2" t="s">
        <v>105</v>
      </c>
      <c r="F48" s="2" t="s">
        <v>108</v>
      </c>
      <c r="G48" s="3">
        <v>-1545.86</v>
      </c>
      <c r="H48" s="4"/>
      <c r="I48" s="1"/>
    </row>
    <row r="49" spans="2:9" ht="15.75" x14ac:dyDescent="0.25">
      <c r="B49" s="6"/>
      <c r="C49" s="5" t="s">
        <v>77</v>
      </c>
      <c r="D49" s="2" t="s">
        <v>40</v>
      </c>
      <c r="E49" s="2" t="s">
        <v>119</v>
      </c>
      <c r="F49" s="2" t="s">
        <v>93</v>
      </c>
      <c r="G49" s="3">
        <v>155100</v>
      </c>
      <c r="H49" s="4"/>
      <c r="I49" s="1"/>
    </row>
    <row r="50" spans="2:9" ht="15.75" x14ac:dyDescent="0.25">
      <c r="B50" s="6"/>
      <c r="C50" s="5" t="s">
        <v>77</v>
      </c>
      <c r="D50" s="2" t="s">
        <v>40</v>
      </c>
      <c r="E50" s="2" t="s">
        <v>129</v>
      </c>
      <c r="F50" s="2" t="s">
        <v>93</v>
      </c>
      <c r="G50" s="3">
        <v>-155000</v>
      </c>
      <c r="H50" s="4"/>
      <c r="I50" s="1"/>
    </row>
    <row r="51" spans="2:9" ht="15.75" x14ac:dyDescent="0.25">
      <c r="B51" s="6"/>
      <c r="C51" s="5" t="s">
        <v>77</v>
      </c>
      <c r="D51" s="2" t="s">
        <v>40</v>
      </c>
      <c r="E51" s="2" t="s">
        <v>79</v>
      </c>
      <c r="F51" s="2" t="s">
        <v>93</v>
      </c>
      <c r="G51" s="3">
        <v>-46</v>
      </c>
      <c r="H51" s="4"/>
      <c r="I51" s="1"/>
    </row>
    <row r="52" spans="2:9" ht="15.75" x14ac:dyDescent="0.25">
      <c r="B52" s="6"/>
      <c r="C52" s="5" t="s">
        <v>77</v>
      </c>
      <c r="D52" s="2" t="s">
        <v>40</v>
      </c>
      <c r="E52" s="2" t="s">
        <v>119</v>
      </c>
      <c r="F52" s="2" t="s">
        <v>93</v>
      </c>
      <c r="G52" s="3">
        <v>7300</v>
      </c>
      <c r="H52" s="4"/>
      <c r="I52" s="1"/>
    </row>
    <row r="53" spans="2:9" ht="15.75" x14ac:dyDescent="0.25">
      <c r="B53" s="6"/>
      <c r="C53" s="5" t="s">
        <v>77</v>
      </c>
      <c r="D53" s="2" t="s">
        <v>40</v>
      </c>
      <c r="E53" s="2" t="s">
        <v>130</v>
      </c>
      <c r="F53" s="2" t="s">
        <v>93</v>
      </c>
      <c r="G53" s="3">
        <v>-5000</v>
      </c>
      <c r="H53" s="4"/>
      <c r="I53" s="1"/>
    </row>
    <row r="54" spans="2:9" ht="15.75" x14ac:dyDescent="0.25">
      <c r="B54" s="6"/>
      <c r="C54" s="5" t="s">
        <v>77</v>
      </c>
      <c r="D54" s="2" t="s">
        <v>40</v>
      </c>
      <c r="E54" s="2" t="s">
        <v>131</v>
      </c>
      <c r="F54" s="2" t="s">
        <v>132</v>
      </c>
      <c r="G54" s="3">
        <v>-2101</v>
      </c>
      <c r="H54" s="4"/>
      <c r="I54" s="1"/>
    </row>
    <row r="55" spans="2:9" ht="15.75" x14ac:dyDescent="0.25">
      <c r="B55" s="6"/>
      <c r="C55" s="5" t="s">
        <v>77</v>
      </c>
      <c r="D55" s="2" t="s">
        <v>40</v>
      </c>
      <c r="E55" s="2" t="s">
        <v>93</v>
      </c>
      <c r="F55" s="2" t="s">
        <v>93</v>
      </c>
      <c r="G55" s="3">
        <v>1</v>
      </c>
      <c r="H55" s="4"/>
      <c r="I55" s="1"/>
    </row>
    <row r="56" spans="2:9" ht="15.75" x14ac:dyDescent="0.25">
      <c r="B56" s="6"/>
      <c r="C56" s="5" t="s">
        <v>77</v>
      </c>
      <c r="D56" s="2" t="s">
        <v>40</v>
      </c>
      <c r="E56" s="2" t="s">
        <v>133</v>
      </c>
      <c r="F56" s="2" t="s">
        <v>134</v>
      </c>
      <c r="G56" s="3">
        <v>-27</v>
      </c>
      <c r="H56" s="4"/>
      <c r="I56" s="1"/>
    </row>
    <row r="57" spans="2:9" ht="15.75" x14ac:dyDescent="0.25">
      <c r="B57" s="6">
        <v>0</v>
      </c>
      <c r="C57" s="5" t="s">
        <v>77</v>
      </c>
      <c r="D57" s="2" t="s">
        <v>3</v>
      </c>
      <c r="E57" s="2" t="s">
        <v>93</v>
      </c>
      <c r="F57" s="2" t="s">
        <v>93</v>
      </c>
      <c r="G57" s="3">
        <v>1</v>
      </c>
      <c r="H57" s="4">
        <v>0</v>
      </c>
      <c r="I57" s="1">
        <v>0</v>
      </c>
    </row>
    <row r="58" spans="2:9" ht="15.75" x14ac:dyDescent="0.25">
      <c r="B58" s="6"/>
      <c r="C58" s="5"/>
      <c r="D58" s="2"/>
      <c r="E58" s="2"/>
      <c r="F58" s="2"/>
      <c r="G58" s="3"/>
      <c r="H58" s="4"/>
      <c r="I58" s="1"/>
    </row>
    <row r="59" spans="2:9" ht="15.75" x14ac:dyDescent="0.25">
      <c r="B59" s="6">
        <v>149912.43</v>
      </c>
      <c r="C59" s="5" t="s">
        <v>82</v>
      </c>
      <c r="D59" s="2" t="s">
        <v>40</v>
      </c>
      <c r="E59" s="2" t="s">
        <v>135</v>
      </c>
      <c r="F59" s="2" t="s">
        <v>136</v>
      </c>
      <c r="G59" s="3">
        <v>-495</v>
      </c>
      <c r="H59" s="4">
        <v>2852.22</v>
      </c>
      <c r="I59" s="1">
        <v>152764.65</v>
      </c>
    </row>
    <row r="60" spans="2:9" ht="15.75" x14ac:dyDescent="0.25">
      <c r="B60" s="6"/>
      <c r="C60" s="5" t="s">
        <v>82</v>
      </c>
      <c r="D60" s="2" t="s">
        <v>40</v>
      </c>
      <c r="E60" s="2" t="s">
        <v>137</v>
      </c>
      <c r="F60" s="2" t="s">
        <v>138</v>
      </c>
      <c r="G60" s="3">
        <v>-2894</v>
      </c>
      <c r="H60" s="4"/>
      <c r="I60" s="1"/>
    </row>
    <row r="61" spans="2:9" ht="15.75" x14ac:dyDescent="0.25">
      <c r="B61" s="6"/>
      <c r="C61" s="5" t="s">
        <v>82</v>
      </c>
      <c r="D61" s="2" t="s">
        <v>40</v>
      </c>
      <c r="E61" s="2" t="s">
        <v>139</v>
      </c>
      <c r="F61" s="2" t="s">
        <v>93</v>
      </c>
      <c r="G61" s="3">
        <v>6159.07</v>
      </c>
      <c r="H61" s="4"/>
      <c r="I61" s="1"/>
    </row>
    <row r="62" spans="2:9" ht="15.75" x14ac:dyDescent="0.25">
      <c r="B62" s="6"/>
      <c r="C62" s="5" t="s">
        <v>82</v>
      </c>
      <c r="D62" s="2" t="s">
        <v>40</v>
      </c>
      <c r="E62" s="2" t="s">
        <v>140</v>
      </c>
      <c r="F62" s="2" t="s">
        <v>93</v>
      </c>
      <c r="G62" s="3">
        <v>482.33</v>
      </c>
      <c r="H62" s="4"/>
      <c r="I62" s="1"/>
    </row>
    <row r="63" spans="2:9" ht="15.75" x14ac:dyDescent="0.25">
      <c r="B63" s="6"/>
      <c r="C63" s="5" t="s">
        <v>82</v>
      </c>
      <c r="D63" s="2" t="s">
        <v>40</v>
      </c>
      <c r="E63" s="2" t="s">
        <v>117</v>
      </c>
      <c r="F63" s="2" t="s">
        <v>93</v>
      </c>
      <c r="G63" s="3">
        <v>-0.18</v>
      </c>
      <c r="H63" s="4"/>
      <c r="I63" s="1"/>
    </row>
    <row r="64" spans="2:9" ht="15.75" x14ac:dyDescent="0.25">
      <c r="B64" s="6"/>
      <c r="C64" s="5" t="s">
        <v>82</v>
      </c>
      <c r="D64" s="2" t="s">
        <v>40</v>
      </c>
      <c r="E64" s="2" t="s">
        <v>141</v>
      </c>
      <c r="F64" s="2" t="s">
        <v>142</v>
      </c>
      <c r="G64" s="3">
        <v>-400</v>
      </c>
      <c r="H64" s="4"/>
      <c r="I64" s="1"/>
    </row>
    <row r="65" spans="2:9" ht="15.75" x14ac:dyDescent="0.25">
      <c r="B65" s="6"/>
      <c r="C65" s="5"/>
      <c r="D65" s="2"/>
      <c r="E65" s="2"/>
      <c r="F65" s="2"/>
      <c r="G65" s="3"/>
      <c r="H65" s="4"/>
      <c r="I65" s="1"/>
    </row>
    <row r="66" spans="2:9" ht="15.75" x14ac:dyDescent="0.25">
      <c r="B66" s="6">
        <v>51352.54</v>
      </c>
      <c r="C66" s="5" t="s">
        <v>26</v>
      </c>
      <c r="D66" s="2" t="s">
        <v>11</v>
      </c>
      <c r="E66" s="2" t="s">
        <v>143</v>
      </c>
      <c r="F66" s="2" t="s">
        <v>93</v>
      </c>
      <c r="G66" s="3">
        <v>45633.94</v>
      </c>
      <c r="H66" s="4">
        <v>-49407.49</v>
      </c>
      <c r="I66" s="1">
        <v>1945.05</v>
      </c>
    </row>
    <row r="67" spans="2:9" ht="15.75" x14ac:dyDescent="0.25">
      <c r="B67" s="6"/>
      <c r="C67" s="5" t="s">
        <v>26</v>
      </c>
      <c r="D67" s="2" t="s">
        <v>11</v>
      </c>
      <c r="E67" s="2" t="s">
        <v>79</v>
      </c>
      <c r="F67" s="2" t="s">
        <v>93</v>
      </c>
      <c r="G67" s="3">
        <v>-41.43</v>
      </c>
      <c r="H67" s="4"/>
      <c r="I67" s="1"/>
    </row>
    <row r="68" spans="2:9" ht="15.75" x14ac:dyDescent="0.25">
      <c r="B68" s="6"/>
      <c r="C68" s="5" t="s">
        <v>26</v>
      </c>
      <c r="D68" s="2" t="s">
        <v>11</v>
      </c>
      <c r="E68" s="2" t="s">
        <v>144</v>
      </c>
      <c r="F68" s="2" t="s">
        <v>93</v>
      </c>
      <c r="G68" s="3">
        <v>-95000</v>
      </c>
      <c r="H68" s="4"/>
      <c r="I68" s="1"/>
    </row>
    <row r="69" spans="2:9" ht="15.75" x14ac:dyDescent="0.25">
      <c r="B69" s="6">
        <v>2602.88</v>
      </c>
      <c r="C69" s="5" t="s">
        <v>26</v>
      </c>
      <c r="D69" s="2" t="s">
        <v>6</v>
      </c>
      <c r="E69" s="2" t="s">
        <v>143</v>
      </c>
      <c r="F69" s="2" t="s">
        <v>93</v>
      </c>
      <c r="G69" s="3">
        <v>161796.53</v>
      </c>
      <c r="H69" s="4">
        <v>-391.47</v>
      </c>
      <c r="I69" s="1">
        <v>2211.41</v>
      </c>
    </row>
    <row r="70" spans="2:9" ht="15.75" x14ac:dyDescent="0.25">
      <c r="B70" s="6"/>
      <c r="C70" s="5" t="s">
        <v>26</v>
      </c>
      <c r="D70" s="2" t="s">
        <v>6</v>
      </c>
      <c r="E70" s="2" t="s">
        <v>79</v>
      </c>
      <c r="F70" s="2" t="s">
        <v>93</v>
      </c>
      <c r="G70" s="3">
        <v>-17.55</v>
      </c>
      <c r="H70" s="4"/>
      <c r="I70" s="1"/>
    </row>
    <row r="71" spans="2:9" ht="15.75" x14ac:dyDescent="0.25">
      <c r="B71" s="6"/>
      <c r="C71" s="5" t="s">
        <v>26</v>
      </c>
      <c r="D71" s="2" t="s">
        <v>6</v>
      </c>
      <c r="E71" s="2" t="s">
        <v>144</v>
      </c>
      <c r="F71" s="2" t="s">
        <v>93</v>
      </c>
      <c r="G71" s="3">
        <v>-160000</v>
      </c>
      <c r="H71" s="4"/>
      <c r="I71" s="1"/>
    </row>
    <row r="72" spans="2:9" ht="15.75" x14ac:dyDescent="0.25">
      <c r="B72" s="6"/>
      <c r="C72" s="5" t="s">
        <v>26</v>
      </c>
      <c r="D72" s="2" t="s">
        <v>6</v>
      </c>
      <c r="E72" s="2" t="s">
        <v>145</v>
      </c>
      <c r="F72" s="2" t="s">
        <v>93</v>
      </c>
      <c r="G72" s="3">
        <v>-2170.4499999999998</v>
      </c>
      <c r="H72" s="4"/>
      <c r="I72" s="1"/>
    </row>
    <row r="73" spans="2:9" ht="15.75" x14ac:dyDescent="0.25">
      <c r="B73" s="6">
        <v>0</v>
      </c>
      <c r="C73" s="5" t="s">
        <v>26</v>
      </c>
      <c r="D73" s="2" t="s">
        <v>3</v>
      </c>
      <c r="E73" s="2" t="s">
        <v>93</v>
      </c>
      <c r="F73" s="2" t="s">
        <v>93</v>
      </c>
      <c r="G73" s="3"/>
      <c r="H73" s="4">
        <v>0</v>
      </c>
      <c r="I73" s="1">
        <v>0</v>
      </c>
    </row>
  </sheetData>
  <conditionalFormatting sqref="B11:I73">
    <cfRule type="expression" dxfId="13" priority="1">
      <formula>$D11=""</formula>
    </cfRule>
    <cfRule type="expression" dxfId="12" priority="2">
      <formula>$D11="CHF"</formula>
    </cfRule>
    <cfRule type="expression" dxfId="11" priority="3">
      <formula>$D11="GBP"</formula>
    </cfRule>
    <cfRule type="expression" dxfId="10" priority="4">
      <formula>$D11="EUR"</formula>
    </cfRule>
    <cfRule type="expression" dxfId="9" priority="5">
      <formula>$D11="USD"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Лист1</vt:lpstr>
      <vt:lpstr>CashUpdate</vt:lpstr>
      <vt:lpstr>MS_Daily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2017-10-19T08:57:16Z</dcterms:modified>
</cp:coreProperties>
</file>