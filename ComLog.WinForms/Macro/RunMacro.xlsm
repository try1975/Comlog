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528" codeName="{B1203076-2D4D-A25B-A398-973B695A806A}"/>
  <workbookPr filterPrivacy="1" codeName="ThisWorkbook" defaultThemeVersion="124226"/>
  <bookViews>
    <workbookView xWindow="240" yWindow="110" windowWidth="14810" windowHeight="8010" activeTab="2" xr2:uid="{00000000-000D-0000-FFFF-FFFF00000000}"/>
  </bookViews>
  <sheets>
    <sheet name="Лист1" sheetId="1" r:id="rId1"/>
    <sheet name="CashUpdate" sheetId="2" r:id="rId2"/>
    <sheet name="MS_Daily" sheetId="3" r:id="rId3"/>
  </sheets>
  <functionGroups builtInGroupCount="19"/>
  <calcPr calcId="171027" calcMode="manual"/>
  <fileRecoveryPr autoRecover="0"/>
</workbook>
</file>

<file path=xl/calcChain.xml><?xml version="1.0" encoding="utf-8"?>
<calcChain xmlns="http://schemas.openxmlformats.org/spreadsheetml/2006/main">
  <c r="G7" i="3" l="1"/>
  <c r="F7" i="3" s="1"/>
  <c r="G6" i="3"/>
  <c r="G5" i="3"/>
  <c r="I5" i="3" s="1"/>
  <c r="G4" i="3"/>
  <c r="I4" i="3" s="1"/>
  <c r="G3" i="3"/>
  <c r="I3" i="3" s="1"/>
  <c r="E7" i="3"/>
  <c r="E6" i="3"/>
  <c r="E5" i="3"/>
  <c r="E4" i="3"/>
  <c r="E3" i="3"/>
  <c r="F6" i="3" l="1"/>
  <c r="F4" i="3"/>
  <c r="F5" i="3"/>
  <c r="F3" i="3"/>
</calcChain>
</file>

<file path=xl/sharedStrings.xml><?xml version="1.0" encoding="utf-8"?>
<sst xmlns="http://schemas.openxmlformats.org/spreadsheetml/2006/main" count="217" uniqueCount="84">
  <si>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</si>
  <si>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</si>
  <si>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</si>
  <si>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</si>
  <si>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</si>
  <si>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</si>
  <si>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</si>
  <si>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</si>
  <si>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</si>
  <si>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</si>
  <si>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</si>
  <si>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</si>
  <si>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</si>
  <si>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</si>
  <si>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</si>
  <si>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</si>
  <si>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</si>
  <si>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</si>
  <si>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Ephrem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</si>
  <si>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</si>
  <si>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</si>
  <si>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</si>
  <si>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</si>
  <si>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</si>
  <si>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</si>
  <si>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</si>
  <si>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</si>
  <si>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</si>
  <si>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</si>
  <si>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</si>
  <si>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</si>
  <si>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</si>
  <si>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</si>
  <si>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</si>
  <si>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</si>
  <si>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ICL MALTA VISA USD settlement</t>
  </si>
  <si>
    <t>BOV + APS</t>
  </si>
  <si>
    <t>PREMIUM CARDS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</si>
  <si>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</si>
  <si>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</si>
  <si>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</si>
  <si>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</si>
  <si>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</si>
  <si>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</si>
  <si>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</si>
  <si>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</si>
  <si>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</si>
  <si>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</si>
  <si>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</si>
  <si>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</si>
  <si>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</si>
  <si>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</si>
  <si>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</si>
  <si>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Business Exp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</si>
  <si>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</si>
  <si>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</si>
  <si>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</si>
  <si>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</si>
  <si>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</si>
  <si>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</si>
  <si>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</si>
  <si>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Marlene</t>
  </si>
  <si>
    <t>Admin - Business Expenses</t>
  </si>
  <si>
    <t>IC Salaries</t>
  </si>
  <si>
    <t>Customer - UNIVERSE</t>
  </si>
  <si>
    <t>Customer-Universe(Payments)</t>
  </si>
  <si>
    <t>MEINL BANK</t>
  </si>
  <si>
    <t>VISA settlement</t>
  </si>
  <si>
    <t>Customer Premium GBP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</si>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</sst>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5" fontId="2" fillId="0" borderId="0"/>
  </cellStyleXfs>
  <cellXfs count="31">
    <xf numFmtId="0" fontId="0" fillId="0" borderId="0" xfId="0"/>
    <xf numFmtId="0" fontId="3" fillId="0" borderId="0" xfId="0" applyFont="1"/>
    <xf numFmtId="166" fontId="4" fillId="0" borderId="0" xfId="1" applyNumberFormat="1" applyFont="1" applyAlignment="1"/>
    <xf numFmtId="165" fontId="4" fillId="0" borderId="0" xfId="1" applyFont="1" applyAlignment="1"/>
    <xf numFmtId="167" fontId="5" fillId="3" borderId="0" xfId="0" applyNumberFormat="1" applyFont="1" applyFill="1" applyAlignment="1">
      <alignment horizontal="left" indent="1"/>
    </xf>
    <xf numFmtId="40" fontId="6" fillId="4" borderId="0" xfId="0" applyNumberFormat="1" applyFont="1" applyFill="1" applyAlignment="1">
      <alignment horizontal="center" vertical="center"/>
    </xf>
    <xf numFmtId="40" fontId="7" fillId="5" borderId="4" xfId="0" applyNumberFormat="1" applyFont="1" applyFill="1" applyBorder="1" applyAlignment="1">
      <alignment horizontal="center" vertical="center"/>
    </xf>
    <xf numFmtId="40" fontId="7" fillId="5" borderId="5" xfId="0" applyNumberFormat="1" applyFont="1" applyFill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right"/>
    </xf>
    <xf numFmtId="165" fontId="7" fillId="5" borderId="6" xfId="0" applyNumberFormat="1" applyFont="1" applyFill="1" applyBorder="1" applyAlignment="1">
      <alignment horizontal="right"/>
    </xf>
    <xf numFmtId="165" fontId="7" fillId="5" borderId="7" xfId="0" applyNumberFormat="1" applyFont="1" applyFill="1" applyBorder="1" applyAlignment="1">
      <alignment horizontal="right"/>
    </xf>
    <xf numFmtId="168" fontId="7" fillId="7" borderId="1" xfId="0" applyNumberFormat="1" applyFont="1" applyFill="1" applyBorder="1"/>
    <xf numFmtId="168" fontId="7" fillId="7" borderId="1" xfId="0" applyNumberFormat="1" applyFont="1" applyFill="1" applyBorder="1" applyAlignment="1">
      <alignment horizontal="right"/>
    </xf>
    <xf numFmtId="168" fontId="7" fillId="7" borderId="8" xfId="0" applyNumberFormat="1" applyFont="1" applyFill="1" applyBorder="1"/>
    <xf numFmtId="168" fontId="7" fillId="5" borderId="9" xfId="0" applyNumberFormat="1" applyFont="1" applyFill="1" applyBorder="1"/>
    <xf numFmtId="168" fontId="7" fillId="5" borderId="1" xfId="0" applyNumberFormat="1" applyFont="1" applyFill="1" applyBorder="1"/>
    <xf numFmtId="169" fontId="8" fillId="8" borderId="1" xfId="0" applyNumberFormat="1" applyFont="1" applyFill="1" applyBorder="1" applyAlignment="1">
      <alignment horizontal="right"/>
    </xf>
    <xf numFmtId="169" fontId="8" fillId="8" borderId="3" xfId="0" applyNumberFormat="1" applyFont="1" applyFill="1" applyBorder="1" applyAlignment="1">
      <alignment horizontal="right"/>
    </xf>
    <xf numFmtId="169" fontId="8" fillId="5" borderId="1" xfId="0" applyNumberFormat="1" applyFont="1" applyFill="1" applyBorder="1" applyAlignment="1">
      <alignment horizontal="right"/>
    </xf>
    <xf numFmtId="169" fontId="8" fillId="5" borderId="3" xfId="0" applyNumberFormat="1" applyFont="1" applyFill="1" applyBorder="1" applyAlignment="1">
      <alignment horizontal="right"/>
    </xf>
    <xf numFmtId="170" fontId="8" fillId="2" borderId="1" xfId="0" applyNumberFormat="1" applyFont="1" applyFill="1" applyBorder="1" applyAlignment="1">
      <alignment horizontal="right"/>
    </xf>
    <xf numFmtId="171" fontId="9" fillId="0" borderId="0" xfId="0" applyNumberFormat="1" applyFont="1" applyAlignment="1">
      <alignment horizontal="right"/>
    </xf>
    <xf numFmtId="166" fontId="8" fillId="9" borderId="1" xfId="0" applyNumberFormat="1" applyFont="1" applyFill="1" applyBorder="1" applyAlignment="1">
      <alignment horizontal="right"/>
    </xf>
    <xf numFmtId="0" fontId="3" fillId="0" borderId="3" xfId="0" applyFont="1" applyBorder="1"/>
    <xf numFmtId="0" fontId="3" fillId="0" borderId="1" xfId="0" applyFont="1" applyBorder="1"/>
    <xf numFmtId="164" fontId="3" fillId="0" borderId="1" xfId="0" applyNumberFormat="1" applyFont="1" applyBorder="1"/>
    <xf numFmtId="164" fontId="10" fillId="0" borderId="2" xfId="0" applyNumberFormat="1" applyFont="1" applyBorder="1" applyAlignment="1">
      <alignment horizontal="right" indent="1"/>
    </xf>
    <xf numFmtId="0" fontId="11" fillId="11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3" fillId="0" borderId="0" xfId="0" applyFont="1"/>
    <xf numFmtId="0" fontId="3" fillId="0" borderId="1" xfId="0" applyFont="1" applyBorder="1" applyAlignment="1">
      <alignment horizontal="center"/>
    </xf>
  </cellXfs>
  <cellStyles count="2">
    <cellStyle name="Normal" xfId="0" builtinId="0"/>
    <cellStyle name="Normal 4" xfId="1" xr:uid="{00000000-0005-0000-0000-000001000000}"/>
  </cellStyles>
  <dxfs count="14"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charset val="204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charset val="204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0</xdr:row>
          <xdr:rowOff>152400</xdr:rowOff>
        </xdr:from>
        <xdr:to>
          <xdr:col>0</xdr:col>
          <xdr:colOff>1543050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CashUpdate 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</xdr:row>
          <xdr:rowOff>184150</xdr:rowOff>
        </xdr:from>
        <xdr:to>
          <xdr:col>0</xdr:col>
          <xdr:colOff>1536700</xdr:colOff>
          <xdr:row>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UpdateTable" displayName="CashUpdateTable" ref="A1:G32" totalsRowShown="0">
  <autoFilter ref="A1:G32" xr:uid="{00000000-0009-0000-0100-000001000000}"/>
  <tableColumns count="7">
    <tableColumn id="1" xr3:uid="{00000000-0010-0000-0000-000001000000}" name="BankMalta"/>
    <tableColumn id="2" xr3:uid="{00000000-0010-0000-0000-000002000000}" name="AccountMalta"/>
    <tableColumn id="3" xr3:uid="{00000000-0010-0000-0000-000003000000}" name="BankComLog"/>
    <tableColumn id="4" xr3:uid="{00000000-0010-0000-0000-000004000000}" name="AccountComlog"/>
    <tableColumn id="5" xr3:uid="{00000000-0010-0000-0000-000005000000}" name="Currency"/>
    <tableColumn id="6" xr3:uid="{00000000-0010-0000-0000-000006000000}" name="TrType"/>
    <tableColumn id="7" xr3:uid="{00000000-0010-0000-0000-000007000000}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sDailyTable" displayName="MsDailyTable" ref="B10:I19" totalsRowShown="0" headerRowDxfId="8">
  <autoFilter ref="B10:I19" xr:uid="{46554E4D-4A73-4724-A671-D693DC4B7E04}"/>
  <tableColumns count="8">
    <tableColumn id="1" xr3:uid="{00000000-0010-0000-0100-000001000000}" name="PREVIOUS" dataDxfId="7"/>
    <tableColumn id="2" xr3:uid="{00000000-0010-0000-0100-000002000000}" name="Bank" dataDxfId="2"/>
    <tableColumn id="3" xr3:uid="{00000000-0010-0000-0100-000003000000}" name="Currency" dataDxfId="0"/>
    <tableColumn id="4" xr3:uid="{00000000-0010-0000-0100-000004000000}" name="FromTo" dataDxfId="1"/>
    <tableColumn id="5" xr3:uid="{00000000-0010-0000-0100-000005000000}" name="Description" dataDxfId="6"/>
    <tableColumn id="6" xr3:uid="{00000000-0010-0000-0100-000006000000}" name="Credit/Debit" dataDxfId="5"/>
    <tableColumn id="8" xr3:uid="{00000000-0010-0000-0100-000008000000}" name="Σ activity by curr." dataDxfId="4"/>
    <tableColumn id="9" xr3:uid="{00000000-0010-0000-0100-000009000000}" name="BALANCE" dataDxfId="3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A18" sqref="A18"/>
    </sheetView>
  </sheetViews>
  <sheetFormatPr defaultRowHeight="14.5" x14ac:dyDescent="0.35"/>
  <cols>
    <col min="1" max="1" width="27.1796875" style="29" customWidth="1"/>
    <col min="2" max="16384" width="8.7265625" style="29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260350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247650</xdr:colOff>
                    <xdr:row>3</xdr:row>
                    <xdr:rowOff>184150</xdr:rowOff>
                  </from>
                  <to>
                    <xdr:col>0</xdr:col>
                    <xdr:colOff>1536700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2"/>
  <sheetViews>
    <sheetView workbookViewId="0">
      <selection activeCell="I16" sqref="I16"/>
    </sheetView>
  </sheetViews>
  <sheetFormatPr defaultRowHeight="14.5" x14ac:dyDescent="0.35"/>
  <cols>
    <col min="1" max="1" width="19.81640625" customWidth="1"/>
    <col min="2" max="2" width="30.81640625" customWidth="1"/>
    <col min="3" max="3" width="14.54296875" customWidth="1"/>
    <col min="4" max="4" width="29.7265625" bestFit="1" customWidth="1"/>
    <col min="5" max="5" width="11" customWidth="1"/>
    <col min="6" max="6" width="20.1796875" bestFit="1" customWidth="1"/>
  </cols>
  <sheetData>
    <row r="1" spans="1:7" x14ac:dyDescent="0.35">
      <c r="A1" t="s">
        <v>20</v>
      </c>
      <c r="B1" t="s">
        <v>21</v>
      </c>
      <c r="C1" t="s">
        <v>22</v>
      </c>
      <c r="D1" t="s">
        <v>23</v>
      </c>
      <c r="E1" t="s">
        <v>0</v>
      </c>
      <c r="F1" t="s">
        <v>24</v>
      </c>
      <c r="G1" t="s">
        <v>25</v>
      </c>
    </row>
    <row r="2" spans="1:7" x14ac:dyDescent="0.35">
      <c r="A2" t="s">
        <v>38</v>
      </c>
      <c r="B2" t="s">
        <v>39</v>
      </c>
      <c r="C2" t="s">
        <v>38</v>
      </c>
      <c r="D2" t="s">
        <v>28</v>
      </c>
      <c r="E2" t="s">
        <v>11</v>
      </c>
      <c r="F2" t="s">
        <v>69</v>
      </c>
    </row>
    <row r="3" spans="1:7" x14ac:dyDescent="0.35">
      <c r="A3" t="s">
        <v>38</v>
      </c>
      <c r="B3" t="s">
        <v>39</v>
      </c>
      <c r="C3" t="s">
        <v>38</v>
      </c>
      <c r="D3" t="s">
        <v>28</v>
      </c>
      <c r="E3" t="s">
        <v>40</v>
      </c>
      <c r="F3" t="s">
        <v>69</v>
      </c>
    </row>
    <row r="4" spans="1:7" x14ac:dyDescent="0.35">
      <c r="A4" t="s">
        <v>38</v>
      </c>
      <c r="B4" t="s">
        <v>39</v>
      </c>
      <c r="C4" t="s">
        <v>38</v>
      </c>
      <c r="D4" t="s">
        <v>28</v>
      </c>
      <c r="E4" t="s">
        <v>6</v>
      </c>
      <c r="F4" t="s">
        <v>69</v>
      </c>
    </row>
    <row r="5" spans="1:7" x14ac:dyDescent="0.35">
      <c r="A5" t="s">
        <v>1</v>
      </c>
      <c r="B5" t="s">
        <v>41</v>
      </c>
      <c r="C5" t="s">
        <v>26</v>
      </c>
      <c r="D5" t="s">
        <v>28</v>
      </c>
      <c r="E5" t="s">
        <v>6</v>
      </c>
      <c r="F5" t="s">
        <v>69</v>
      </c>
    </row>
    <row r="6" spans="1:7" x14ac:dyDescent="0.35">
      <c r="A6" t="s">
        <v>1</v>
      </c>
      <c r="B6" t="s">
        <v>42</v>
      </c>
      <c r="C6" t="s">
        <v>26</v>
      </c>
      <c r="D6" t="s">
        <v>28</v>
      </c>
      <c r="E6" t="s">
        <v>11</v>
      </c>
      <c r="F6" t="s">
        <v>69</v>
      </c>
    </row>
    <row r="7" spans="1:7" x14ac:dyDescent="0.35">
      <c r="A7" t="s">
        <v>1</v>
      </c>
      <c r="B7" t="s">
        <v>2</v>
      </c>
      <c r="C7" t="s">
        <v>26</v>
      </c>
      <c r="D7" t="s">
        <v>28</v>
      </c>
      <c r="E7" t="s">
        <v>3</v>
      </c>
      <c r="F7" t="s">
        <v>69</v>
      </c>
    </row>
    <row r="8" spans="1:7" x14ac:dyDescent="0.35">
      <c r="A8" t="s">
        <v>43</v>
      </c>
      <c r="B8" t="s">
        <v>44</v>
      </c>
      <c r="C8" t="s">
        <v>49</v>
      </c>
      <c r="D8" t="s">
        <v>28</v>
      </c>
      <c r="E8" t="s">
        <v>6</v>
      </c>
      <c r="F8" t="s">
        <v>69</v>
      </c>
    </row>
    <row r="9" spans="1:7" x14ac:dyDescent="0.35">
      <c r="A9" t="s">
        <v>43</v>
      </c>
      <c r="B9" t="s">
        <v>45</v>
      </c>
      <c r="C9" t="s">
        <v>49</v>
      </c>
      <c r="D9" t="s">
        <v>48</v>
      </c>
      <c r="E9" t="s">
        <v>6</v>
      </c>
      <c r="F9" t="s">
        <v>69</v>
      </c>
    </row>
    <row r="10" spans="1:7" x14ac:dyDescent="0.35">
      <c r="A10" t="s">
        <v>43</v>
      </c>
      <c r="B10" t="s">
        <v>46</v>
      </c>
      <c r="C10" t="s">
        <v>49</v>
      </c>
      <c r="D10" t="s">
        <v>28</v>
      </c>
      <c r="E10" t="s">
        <v>11</v>
      </c>
      <c r="F10" t="s">
        <v>69</v>
      </c>
    </row>
    <row r="11" spans="1:7" x14ac:dyDescent="0.35">
      <c r="A11" t="s">
        <v>43</v>
      </c>
      <c r="B11" t="s">
        <v>47</v>
      </c>
      <c r="C11" t="s">
        <v>49</v>
      </c>
      <c r="D11" t="s">
        <v>28</v>
      </c>
      <c r="E11" t="s">
        <v>40</v>
      </c>
      <c r="F11" t="s">
        <v>69</v>
      </c>
    </row>
    <row r="12" spans="1:7" x14ac:dyDescent="0.35">
      <c r="A12" t="s">
        <v>50</v>
      </c>
      <c r="B12" t="s">
        <v>51</v>
      </c>
      <c r="C12" t="s">
        <v>27</v>
      </c>
      <c r="D12" t="s">
        <v>50</v>
      </c>
      <c r="E12" t="s">
        <v>6</v>
      </c>
      <c r="F12" t="s">
        <v>69</v>
      </c>
    </row>
    <row r="13" spans="1:7" x14ac:dyDescent="0.35">
      <c r="A13" t="s">
        <v>4</v>
      </c>
      <c r="B13" t="s">
        <v>39</v>
      </c>
      <c r="C13" t="s">
        <v>27</v>
      </c>
      <c r="D13" t="s">
        <v>52</v>
      </c>
      <c r="E13" t="s">
        <v>11</v>
      </c>
      <c r="F13" t="s">
        <v>69</v>
      </c>
    </row>
    <row r="14" spans="1:7" x14ac:dyDescent="0.35">
      <c r="A14" t="s">
        <v>4</v>
      </c>
      <c r="B14" t="s">
        <v>5</v>
      </c>
      <c r="C14" t="s">
        <v>27</v>
      </c>
      <c r="D14" t="s">
        <v>29</v>
      </c>
      <c r="E14" t="s">
        <v>6</v>
      </c>
      <c r="F14" t="s">
        <v>69</v>
      </c>
    </row>
    <row r="15" spans="1:7" x14ac:dyDescent="0.35">
      <c r="A15" t="s">
        <v>4</v>
      </c>
      <c r="B15" t="s">
        <v>53</v>
      </c>
      <c r="C15" t="s">
        <v>27</v>
      </c>
      <c r="D15" t="s">
        <v>62</v>
      </c>
      <c r="E15" t="s">
        <v>6</v>
      </c>
      <c r="F15" t="s">
        <v>69</v>
      </c>
    </row>
    <row r="16" spans="1:7" x14ac:dyDescent="0.35">
      <c r="A16" t="s">
        <v>4</v>
      </c>
      <c r="B16" t="s">
        <v>54</v>
      </c>
      <c r="C16" t="s">
        <v>27</v>
      </c>
      <c r="D16" t="s">
        <v>63</v>
      </c>
      <c r="E16" t="s">
        <v>6</v>
      </c>
      <c r="F16" t="s">
        <v>69</v>
      </c>
    </row>
    <row r="17" spans="1:7" x14ac:dyDescent="0.35">
      <c r="A17" t="s">
        <v>4</v>
      </c>
      <c r="B17" t="s">
        <v>7</v>
      </c>
      <c r="C17" t="s">
        <v>27</v>
      </c>
      <c r="D17" t="s">
        <v>30</v>
      </c>
      <c r="E17" t="s">
        <v>6</v>
      </c>
      <c r="F17" t="s">
        <v>69</v>
      </c>
    </row>
    <row r="18" spans="1:7" x14ac:dyDescent="0.35">
      <c r="A18" t="s">
        <v>4</v>
      </c>
      <c r="B18" t="s">
        <v>8</v>
      </c>
      <c r="C18" t="s">
        <v>27</v>
      </c>
      <c r="D18" t="s">
        <v>31</v>
      </c>
      <c r="E18" t="s">
        <v>6</v>
      </c>
      <c r="F18" t="s">
        <v>69</v>
      </c>
    </row>
    <row r="19" spans="1:7" x14ac:dyDescent="0.35">
      <c r="A19" t="s">
        <v>4</v>
      </c>
      <c r="B19" t="s">
        <v>55</v>
      </c>
      <c r="C19" t="s">
        <v>27</v>
      </c>
      <c r="D19" t="s">
        <v>67</v>
      </c>
      <c r="E19" t="s">
        <v>6</v>
      </c>
      <c r="F19" t="s">
        <v>69</v>
      </c>
    </row>
    <row r="20" spans="1:7" x14ac:dyDescent="0.35">
      <c r="A20" t="s">
        <v>4</v>
      </c>
      <c r="B20" t="s">
        <v>9</v>
      </c>
      <c r="C20" t="s">
        <v>27</v>
      </c>
      <c r="D20" t="s">
        <v>37</v>
      </c>
      <c r="E20" t="s">
        <v>6</v>
      </c>
      <c r="F20" t="s">
        <v>69</v>
      </c>
    </row>
    <row r="21" spans="1:7" x14ac:dyDescent="0.35">
      <c r="A21" t="s">
        <v>4</v>
      </c>
      <c r="B21" t="s">
        <v>56</v>
      </c>
      <c r="C21" t="s">
        <v>27</v>
      </c>
      <c r="D21" t="s">
        <v>64</v>
      </c>
      <c r="E21" t="s">
        <v>6</v>
      </c>
      <c r="F21" t="s">
        <v>69</v>
      </c>
    </row>
    <row r="22" spans="1:7" x14ac:dyDescent="0.35">
      <c r="A22" t="s">
        <v>4</v>
      </c>
      <c r="B22" t="s">
        <v>57</v>
      </c>
      <c r="C22" t="s">
        <v>27</v>
      </c>
      <c r="D22" t="s">
        <v>66</v>
      </c>
      <c r="E22" t="s">
        <v>6</v>
      </c>
      <c r="F22" t="s">
        <v>69</v>
      </c>
    </row>
    <row r="23" spans="1:7" x14ac:dyDescent="0.35">
      <c r="A23" t="s">
        <v>4</v>
      </c>
      <c r="B23" t="s">
        <v>58</v>
      </c>
      <c r="C23" t="s">
        <v>27</v>
      </c>
      <c r="D23" t="s">
        <v>65</v>
      </c>
      <c r="E23" t="s">
        <v>6</v>
      </c>
      <c r="F23" t="s">
        <v>69</v>
      </c>
    </row>
    <row r="24" spans="1:7" x14ac:dyDescent="0.35">
      <c r="A24" t="s">
        <v>4</v>
      </c>
      <c r="B24" t="s">
        <v>10</v>
      </c>
      <c r="C24" t="s">
        <v>36</v>
      </c>
      <c r="D24" t="s">
        <v>35</v>
      </c>
      <c r="E24" t="s">
        <v>11</v>
      </c>
      <c r="F24" t="s">
        <v>69</v>
      </c>
    </row>
    <row r="25" spans="1:7" x14ac:dyDescent="0.35">
      <c r="A25" t="s">
        <v>4</v>
      </c>
      <c r="B25" t="s">
        <v>59</v>
      </c>
      <c r="C25" t="s">
        <v>27</v>
      </c>
      <c r="D25" t="s">
        <v>68</v>
      </c>
      <c r="E25" t="s">
        <v>40</v>
      </c>
      <c r="F25" t="s">
        <v>69</v>
      </c>
    </row>
    <row r="26" spans="1:7" x14ac:dyDescent="0.35">
      <c r="A26" t="s">
        <v>12</v>
      </c>
      <c r="B26" t="s">
        <v>13</v>
      </c>
      <c r="C26" t="s">
        <v>12</v>
      </c>
      <c r="D26" t="s">
        <v>32</v>
      </c>
      <c r="E26" t="s">
        <v>6</v>
      </c>
      <c r="F26" t="s">
        <v>69</v>
      </c>
    </row>
    <row r="27" spans="1:7" x14ac:dyDescent="0.35">
      <c r="A27" t="s">
        <v>14</v>
      </c>
      <c r="B27" t="s">
        <v>60</v>
      </c>
      <c r="C27" t="s">
        <v>14</v>
      </c>
      <c r="D27" t="s">
        <v>60</v>
      </c>
      <c r="E27" t="s">
        <v>6</v>
      </c>
      <c r="F27" t="s">
        <v>69</v>
      </c>
    </row>
    <row r="28" spans="1:7" x14ac:dyDescent="0.35">
      <c r="A28" t="s">
        <v>14</v>
      </c>
      <c r="B28" t="s">
        <v>15</v>
      </c>
      <c r="C28" t="s">
        <v>14</v>
      </c>
      <c r="D28" t="s">
        <v>34</v>
      </c>
      <c r="E28" t="s">
        <v>6</v>
      </c>
      <c r="F28" t="s">
        <v>69</v>
      </c>
    </row>
    <row r="29" spans="1:7" x14ac:dyDescent="0.35">
      <c r="A29" t="s">
        <v>14</v>
      </c>
      <c r="B29" t="s">
        <v>16</v>
      </c>
      <c r="C29" t="s">
        <v>14</v>
      </c>
      <c r="D29" t="s">
        <v>33</v>
      </c>
      <c r="E29" t="s">
        <v>6</v>
      </c>
      <c r="F29" t="s">
        <v>69</v>
      </c>
    </row>
    <row r="30" spans="1:7" x14ac:dyDescent="0.35">
      <c r="A30" t="s">
        <v>17</v>
      </c>
      <c r="B30" t="s">
        <v>18</v>
      </c>
      <c r="E30" t="s">
        <v>6</v>
      </c>
      <c r="G30">
        <v>1</v>
      </c>
    </row>
    <row r="31" spans="1:7" x14ac:dyDescent="0.35">
      <c r="A31" t="s">
        <v>17</v>
      </c>
      <c r="B31" t="s">
        <v>61</v>
      </c>
      <c r="E31" t="s">
        <v>6</v>
      </c>
      <c r="G31">
        <v>1</v>
      </c>
    </row>
    <row r="32" spans="1:7" x14ac:dyDescent="0.35">
      <c r="A32" t="s">
        <v>17</v>
      </c>
      <c r="B32" t="s">
        <v>19</v>
      </c>
      <c r="C32" t="s">
        <v>27</v>
      </c>
      <c r="D32" t="s">
        <v>32</v>
      </c>
      <c r="E32" t="s">
        <v>6</v>
      </c>
      <c r="F32" t="s">
        <v>69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19"/>
  <sheetViews>
    <sheetView tabSelected="1" zoomScale="90" zoomScaleNormal="90" workbookViewId="0">
      <pane ySplit="10" topLeftCell="A11" activePane="bottomLeft" state="frozen"/>
      <selection pane="bottomLeft" activeCell="E12" sqref="E12"/>
    </sheetView>
  </sheetViews>
  <sheetFormatPr defaultRowHeight="14.5" x14ac:dyDescent="0.35"/>
  <cols>
    <col min="1" max="1" width="8.7265625" style="1"/>
    <col min="2" max="2" width="17" style="1" customWidth="1"/>
    <col min="3" max="4" width="13.453125" style="1" bestFit="1" customWidth="1"/>
    <col min="5" max="5" width="42.1796875" style="1" customWidth="1"/>
    <col min="6" max="6" width="44.1796875" style="1" customWidth="1"/>
    <col min="7" max="7" width="22.1796875" style="1" customWidth="1"/>
    <col min="8" max="8" width="24.453125" style="1" bestFit="1" customWidth="1"/>
    <col min="9" max="9" width="23.54296875" style="1" customWidth="1"/>
    <col min="10" max="10" width="16.54296875" style="1" bestFit="1" customWidth="1"/>
    <col min="11" max="11" width="12.26953125" style="1" bestFit="1" customWidth="1"/>
    <col min="12" max="12" width="16.54296875" style="1" bestFit="1" customWidth="1"/>
    <col min="13" max="16384" width="8.7265625" style="1"/>
  </cols>
  <sheetData>
    <row r="1" spans="2:9" ht="16" thickBot="1" x14ac:dyDescent="0.4">
      <c r="E1" s="2"/>
      <c r="F1" s="3"/>
      <c r="G1" s="4">
        <v>43024</v>
      </c>
      <c r="H1" s="3"/>
      <c r="I1" s="3"/>
    </row>
    <row r="2" spans="2:9" ht="15" thickBot="1" x14ac:dyDescent="0.4">
      <c r="E2" s="5" t="s">
        <v>73</v>
      </c>
      <c r="F2" s="5" t="s">
        <v>74</v>
      </c>
      <c r="G2" s="5" t="s">
        <v>75</v>
      </c>
      <c r="H2" s="6" t="s">
        <v>76</v>
      </c>
      <c r="I2" s="7" t="s">
        <v>77</v>
      </c>
    </row>
    <row r="3" spans="2:9" x14ac:dyDescent="0.35">
      <c r="E3" s="8">
        <f>SUMIFS(MsDailyTable[PREVIOUS],MsDailyTable[Currency],"USD")</f>
        <v>51352.54</v>
      </c>
      <c r="F3" s="8">
        <f>G3-E3</f>
        <v>-49407.49</v>
      </c>
      <c r="G3" s="8">
        <f>SUMIFS(MsDailyTable[BALANCE],MsDailyTable[Currency],"USD")</f>
        <v>1945.05</v>
      </c>
      <c r="H3" s="9"/>
      <c r="I3" s="10">
        <f>G3+H3</f>
        <v>1945.05</v>
      </c>
    </row>
    <row r="4" spans="2:9" x14ac:dyDescent="0.35">
      <c r="E4" s="11">
        <f>SUMIFS(MsDailyTable[PREVIOUS],MsDailyTable[Currency],"EUR")</f>
        <v>2602.88</v>
      </c>
      <c r="F4" s="12">
        <f>G4-E4</f>
        <v>-427435.59</v>
      </c>
      <c r="G4" s="13">
        <f>SUMIFS(MsDailyTable[BALANCE],MsDailyTable[Currency],"EUR")</f>
        <v>-424832.71</v>
      </c>
      <c r="H4" s="14"/>
      <c r="I4" s="15">
        <f t="shared" ref="I4:I5" si="0">G4+H4</f>
        <v>-424832.71</v>
      </c>
    </row>
    <row r="5" spans="2:9" x14ac:dyDescent="0.35">
      <c r="E5" s="16">
        <f>SUMIFS(MsDailyTable[PREVIOUS],MsDailyTable[Currency],"GBP")</f>
        <v>149912.43</v>
      </c>
      <c r="F5" s="17">
        <f>G5-E5</f>
        <v>3187.5</v>
      </c>
      <c r="G5" s="16">
        <f>SUMIFS(MsDailyTable[BALANCE],MsDailyTable[Currency],"GBP")</f>
        <v>153099.93</v>
      </c>
      <c r="H5" s="18"/>
      <c r="I5" s="19">
        <f t="shared" si="0"/>
        <v>153099.93</v>
      </c>
    </row>
    <row r="6" spans="2:9" x14ac:dyDescent="0.35">
      <c r="E6" s="20">
        <f>SUMIFS(MsDailyTable[PREVIOUS],MsDailyTable[Currency],"CHF")</f>
        <v>0</v>
      </c>
      <c r="F6" s="20">
        <f>G6-E6</f>
        <v>0</v>
      </c>
      <c r="G6" s="20">
        <f>SUMIFS(MsDailyTable[BALANCE],MsDailyTable[Currency],"CHF")</f>
        <v>0</v>
      </c>
      <c r="I6" s="21"/>
    </row>
    <row r="7" spans="2:9" x14ac:dyDescent="0.35">
      <c r="E7" s="22">
        <f>SUMIFS(MsDailyTable[PREVIOUS],MsDailyTable[Currency],"HKD")</f>
        <v>0</v>
      </c>
      <c r="F7" s="22">
        <f>G7-E7</f>
        <v>0</v>
      </c>
      <c r="G7" s="22">
        <f>SUMIFS(MsDailyTable[BALANCE],MsDailyTable[Currency],"HKD")</f>
        <v>0</v>
      </c>
      <c r="I7" s="21"/>
    </row>
    <row r="10" spans="2:9" ht="23.25" customHeight="1" x14ac:dyDescent="0.35">
      <c r="B10" s="27" t="s">
        <v>73</v>
      </c>
      <c r="C10" s="28" t="s">
        <v>83</v>
      </c>
      <c r="D10" s="28" t="s">
        <v>0</v>
      </c>
      <c r="E10" s="28" t="s">
        <v>71</v>
      </c>
      <c r="F10" s="28" t="s">
        <v>70</v>
      </c>
      <c r="G10" s="28" t="s">
        <v>81</v>
      </c>
      <c r="H10" s="27" t="s">
        <v>82</v>
      </c>
      <c r="I10" s="27" t="s">
        <v>75</v>
      </c>
    </row>
    <row r="11" spans="2:9" ht="18.5" x14ac:dyDescent="0.45">
      <c r="B11" s="26">
        <v>0</v>
      </c>
      <c r="C11" s="23" t="s">
        <v>78</v>
      </c>
      <c r="D11" s="30" t="s">
        <v>6</v>
      </c>
      <c r="E11" s="24"/>
      <c r="F11" s="24"/>
      <c r="G11" s="25">
        <v>-261074.9</v>
      </c>
      <c r="H11" s="26">
        <v>-427044.12</v>
      </c>
      <c r="I11" s="26">
        <v>-427044.12</v>
      </c>
    </row>
    <row r="12" spans="2:9" ht="18.5" x14ac:dyDescent="0.45">
      <c r="B12" s="26">
        <v>0</v>
      </c>
      <c r="C12" s="23" t="s">
        <v>78</v>
      </c>
      <c r="D12" s="30" t="s">
        <v>40</v>
      </c>
      <c r="E12" s="24"/>
      <c r="F12" s="24"/>
      <c r="G12" s="25">
        <v>1654.14</v>
      </c>
      <c r="H12" s="26">
        <v>335.28</v>
      </c>
      <c r="I12" s="26">
        <v>335.28</v>
      </c>
    </row>
    <row r="13" spans="2:9" ht="18.5" x14ac:dyDescent="0.45">
      <c r="B13" s="26">
        <v>0</v>
      </c>
      <c r="C13" s="23" t="s">
        <v>78</v>
      </c>
      <c r="D13" s="30" t="s">
        <v>3</v>
      </c>
      <c r="E13" s="24"/>
      <c r="F13" s="24"/>
      <c r="G13" s="25">
        <v>1</v>
      </c>
      <c r="H13" s="26">
        <v>0</v>
      </c>
      <c r="I13" s="26">
        <v>0</v>
      </c>
    </row>
    <row r="14" spans="2:9" ht="18.5" x14ac:dyDescent="0.45">
      <c r="B14" s="26"/>
      <c r="C14" s="23"/>
      <c r="D14" s="30"/>
      <c r="E14" s="24"/>
      <c r="F14" s="24"/>
      <c r="G14" s="25"/>
      <c r="H14" s="26"/>
      <c r="I14" s="26"/>
    </row>
    <row r="15" spans="2:9" ht="18.5" x14ac:dyDescent="0.45">
      <c r="B15" s="26">
        <v>149912.43</v>
      </c>
      <c r="C15" s="23" t="s">
        <v>79</v>
      </c>
      <c r="D15" s="30" t="s">
        <v>40</v>
      </c>
      <c r="E15" s="24"/>
      <c r="F15" s="24"/>
      <c r="G15" s="25">
        <v>-495</v>
      </c>
      <c r="H15" s="26">
        <v>2852.22</v>
      </c>
      <c r="I15" s="26">
        <v>152764.65</v>
      </c>
    </row>
    <row r="16" spans="2:9" ht="18.5" x14ac:dyDescent="0.45">
      <c r="B16" s="26"/>
      <c r="C16" s="23"/>
      <c r="D16" s="30"/>
      <c r="E16" s="24"/>
      <c r="F16" s="24"/>
      <c r="G16" s="25"/>
      <c r="H16" s="26"/>
      <c r="I16" s="26"/>
    </row>
    <row r="17" spans="2:9" ht="18.5" x14ac:dyDescent="0.45">
      <c r="B17" s="26">
        <v>51352.54</v>
      </c>
      <c r="C17" s="23" t="s">
        <v>80</v>
      </c>
      <c r="D17" s="30" t="s">
        <v>11</v>
      </c>
      <c r="E17" s="24"/>
      <c r="F17" s="24" t="s">
        <v>72</v>
      </c>
      <c r="G17" s="25">
        <v>45633.94</v>
      </c>
      <c r="H17" s="26">
        <v>-49407.49</v>
      </c>
      <c r="I17" s="26">
        <v>1945.05</v>
      </c>
    </row>
    <row r="18" spans="2:9" ht="18.5" x14ac:dyDescent="0.45">
      <c r="B18" s="26">
        <v>2602.88</v>
      </c>
      <c r="C18" s="23" t="s">
        <v>80</v>
      </c>
      <c r="D18" s="30" t="s">
        <v>6</v>
      </c>
      <c r="E18" s="24"/>
      <c r="F18" s="24" t="s">
        <v>72</v>
      </c>
      <c r="G18" s="25">
        <v>161796.53</v>
      </c>
      <c r="H18" s="26">
        <v>-391.47</v>
      </c>
      <c r="I18" s="26">
        <v>2211.41</v>
      </c>
    </row>
    <row r="19" spans="2:9" ht="18.5" x14ac:dyDescent="0.45">
      <c r="B19" s="26">
        <v>0</v>
      </c>
      <c r="C19" s="23" t="s">
        <v>80</v>
      </c>
      <c r="D19" s="30" t="s">
        <v>3</v>
      </c>
      <c r="E19" s="24"/>
      <c r="F19" s="24" t="s">
        <v>72</v>
      </c>
      <c r="G19" s="25"/>
      <c r="H19" s="26">
        <v>0</v>
      </c>
      <c r="I19" s="26">
        <v>0</v>
      </c>
    </row>
  </sheetData>
  <conditionalFormatting sqref="B11:I19">
    <cfRule type="expression" dxfId="13" priority="1">
      <formula>$D11=""</formula>
    </cfRule>
    <cfRule type="expression" dxfId="12" priority="2">
      <formula>$D11="CHF"</formula>
    </cfRule>
    <cfRule type="expression" dxfId="11" priority="3">
      <formula>$D11="GBP"</formula>
    </cfRule>
    <cfRule type="expression" dxfId="10" priority="4">
      <formula>$D11="EUR"</formula>
    </cfRule>
    <cfRule type="expression" dxfId="9" priority="5">
      <formula>$D11="USD"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CashUpdate</vt:lpstr>
      <vt:lpstr>MS_Daily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2017-10-21T10:19:19Z</dcterms:modified>
</cp:coreProperties>
</file>