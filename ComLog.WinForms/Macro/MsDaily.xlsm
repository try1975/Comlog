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 codeName="{B08E4597-CF32-672E-EC9B-63DB714DCB7F}"/>
  <workbookPr filterPrivacy="1" codeName="ThisWorkbook" defaultThemeVersion="124226"/>
  <xr:revisionPtr revIDLastSave="0" documentId="13_ncr:1_{1F7F8613-5D60-497B-BC1F-6CDF0D9F6201}" xr6:coauthVersionLast="45" xr6:coauthVersionMax="45" xr10:uidLastSave="{00000000-0000-0000-0000-000000000000}"/>
  <bookViews>
    <workbookView xWindow="-28440" yWindow="60" windowWidth="27195" windowHeight="14250" xr2:uid="{00000000-000D-0000-FFFF-FFFF00000000}"/>
  </bookViews>
  <sheets>
    <sheet name="MS_Daily" sheetId="3" r:id="rId1"/>
    <sheet name="Activity" sheetId="7" r:id="rId2"/>
    <sheet name="PMRQ" sheetId="8" r:id="rId3"/>
  </sheets>
  <functionGroups builtInGroupCount="19"/>
  <definedNames>
    <definedName name="ACTIVITY_AED">MS_Daily!$E$15</definedName>
    <definedName name="ACTIVITY_AED_USD">MS_Daily!$E$7</definedName>
    <definedName name="ACTIVITY_CHF">MS_Daily!$E$14</definedName>
    <definedName name="ACTIVITY_CHF_USD">MS_Daily!$E$6</definedName>
    <definedName name="ACTIVITY_EUR">MS_Daily!$E$12</definedName>
    <definedName name="ACTIVITY_EUR_USD">MS_Daily!$E$4</definedName>
    <definedName name="ACTIVITY_GBP">MS_Daily!$E$13</definedName>
    <definedName name="ACTIVITY_GBP_USD">MS_Daily!$E$5</definedName>
    <definedName name="ACTIVITY_HKD">MS_Daily!#REF!</definedName>
    <definedName name="ACTIVITY_HKD_USD">MS_Daily!#REF!</definedName>
    <definedName name="ACTIVITY_USD">MS_Daily!$E$11</definedName>
    <definedName name="ACTIVITY_USD_USD">MS_Daily!$E$3</definedName>
    <definedName name="AED_ADMIN">MS_Daily!$F$32</definedName>
    <definedName name="AED_CASH">MS_Daily!$H$32</definedName>
    <definedName name="AED_CHARGES">MS_Daily!$D$32</definedName>
    <definedName name="AED_DELTA_PMRQ">MS_Daily!$L$23</definedName>
    <definedName name="AED_DELTA_REPORT">MS_Daily!$L$14</definedName>
    <definedName name="AED_EXTRA">MS_Daily!$K$32</definedName>
    <definedName name="AED_FX">MS_Daily!$G$32</definedName>
    <definedName name="AED_ICL">MS_Daily!$J$32</definedName>
    <definedName name="AED_LSB">MS_Daily!$E$32</definedName>
    <definedName name="AED_MS">MS_Daily!$I$32</definedName>
    <definedName name="AED_NAME">MS_Daily!$C$7</definedName>
    <definedName name="AED_OTHER">MS_Daily!$B$32</definedName>
    <definedName name="AED_PMRQ">MS_Daily!$J$23</definedName>
    <definedName name="AED_PMRQFILE">MS_Daily!$K$23</definedName>
    <definedName name="AED_RATE">MS_Daily!$H$7</definedName>
    <definedName name="AED_RATE_P">MS_Daily!$B$7</definedName>
    <definedName name="AED_REPORT">MS_Daily!$J$14</definedName>
    <definedName name="AED_REPORTFILE">MS_Daily!$K$14</definedName>
    <definedName name="AED_RP">MS_Daily!$C$32</definedName>
    <definedName name="ALL_PMRQ">MS_Daily!$J$17</definedName>
    <definedName name="ALL_PMRQFILE">MS_Daily!$K$17</definedName>
    <definedName name="ALL_REPORT">MS_Daily!$J$8</definedName>
    <definedName name="ALL_REPORTFILE">MS_Daily!$K$8</definedName>
    <definedName name="BALANCE_AED">MS_Daily!$F$15</definedName>
    <definedName name="BALANCE_AED_USD">MS_Daily!$G$7</definedName>
    <definedName name="BALANCE_CHF">MS_Daily!$F$14</definedName>
    <definedName name="BALANCE_CHF_USD">MS_Daily!$G$6</definedName>
    <definedName name="BALANCE_EUR">MS_Daily!$F$12</definedName>
    <definedName name="BALANCE_EUR_USD">MS_Daily!$G$4</definedName>
    <definedName name="BALANCE_GBP">MS_Daily!$F$13</definedName>
    <definedName name="BALANCE_GBP_USD">MS_Daily!$G$5</definedName>
    <definedName name="BALANCE_HKD">MS_Daily!#REF!</definedName>
    <definedName name="BALANCE_HKD_USD">MS_Daily!#REF!</definedName>
    <definedName name="BALANCE_USD">MS_Daily!$F$11</definedName>
    <definedName name="BALANCE_USD_USD">MS_Daily!$G$3</definedName>
    <definedName name="CHF_ADMIN">MS_Daily!$F$31</definedName>
    <definedName name="CHF_CASH">MS_Daily!$H$31</definedName>
    <definedName name="CHF_CHARGES">MS_Daily!$D$31</definedName>
    <definedName name="CHF_DELTA_PMRQ">MS_Daily!$L$22</definedName>
    <definedName name="CHF_DELTA_REPORT">MS_Daily!$L$13</definedName>
    <definedName name="CHF_EXTRA">MS_Daily!$K$31</definedName>
    <definedName name="CHF_FX">MS_Daily!$G$31</definedName>
    <definedName name="CHF_ICL">MS_Daily!$J$31</definedName>
    <definedName name="CHF_LSB">MS_Daily!$E$31</definedName>
    <definedName name="CHF_MS">MS_Daily!$I$31</definedName>
    <definedName name="CHF_NAME">MS_Daily!$C$6</definedName>
    <definedName name="CHF_OTHER">MS_Daily!$B$31</definedName>
    <definedName name="CHF_PMRQ">MS_Daily!$J$22</definedName>
    <definedName name="CHF_PMRQFILE">MS_Daily!$K$22</definedName>
    <definedName name="CHF_RATE">MS_Daily!$H$6</definedName>
    <definedName name="CHF_RATE_P">MS_Daily!$B$6</definedName>
    <definedName name="CHF_REPORT">MS_Daily!$J$13</definedName>
    <definedName name="CHF_REPORTFILE">MS_Daily!$K$13</definedName>
    <definedName name="CHF_RP">MS_Daily!$C$31</definedName>
    <definedName name="DELTA_PMRQ">MS_Daily!$L$17</definedName>
    <definedName name="DELTA_REPORT">MS_Daily!$L$8</definedName>
    <definedName name="DTB">MS_Daily!$B$1</definedName>
    <definedName name="DTE">MS_Daily!$C$1</definedName>
    <definedName name="EUR_ADMIN">MS_Daily!$F$29</definedName>
    <definedName name="EUR_CASH">MS_Daily!$H$29</definedName>
    <definedName name="EUR_CHARGES">MS_Daily!$D$29</definedName>
    <definedName name="EUR_DELTA_PMRQ">MS_Daily!$L$20</definedName>
    <definedName name="EUR_DELTA_REPORT">MS_Daily!$L$11</definedName>
    <definedName name="EUR_EXTRA">MS_Daily!$K$29</definedName>
    <definedName name="EUR_FX">MS_Daily!$G$29</definedName>
    <definedName name="EUR_ICL">MS_Daily!$J$29</definedName>
    <definedName name="EUR_LSB">MS_Daily!$E$29</definedName>
    <definedName name="EUR_MS">MS_Daily!$I$29</definedName>
    <definedName name="EUR_NAME">MS_Daily!$C$4</definedName>
    <definedName name="EUR_OTHER">MS_Daily!$B$29</definedName>
    <definedName name="EUR_PMRQ">MS_Daily!$J$20</definedName>
    <definedName name="EUR_PMRQFILE">MS_Daily!$K$20</definedName>
    <definedName name="EUR_RATE">MS_Daily!$H$4</definedName>
    <definedName name="EUR_RATE_P">MS_Daily!$B$4</definedName>
    <definedName name="EUR_REPORT">MS_Daily!$J$11</definedName>
    <definedName name="EUR_REPORTFILE">MS_Daily!$K$11</definedName>
    <definedName name="EUR_RP">MS_Daily!$C$29</definedName>
    <definedName name="GBP_ADMIN">MS_Daily!$F$30</definedName>
    <definedName name="GBP_CASH">MS_Daily!$H$30</definedName>
    <definedName name="GBP_CHARGES">MS_Daily!$D$30</definedName>
    <definedName name="GBP_DELTA_PMRQ">MS_Daily!$L$21</definedName>
    <definedName name="GBP_DELTA_REPORT">MS_Daily!$L$12</definedName>
    <definedName name="GBP_EXTRA">MS_Daily!$K$30</definedName>
    <definedName name="GBP_FX">MS_Daily!$G$30</definedName>
    <definedName name="GBP_ICL">MS_Daily!$J$30</definedName>
    <definedName name="GBP_LSB">MS_Daily!$E$30</definedName>
    <definedName name="GBP_MS">MS_Daily!$I$30</definedName>
    <definedName name="GBP_NAME">MS_Daily!$C$5</definedName>
    <definedName name="GBP_OTHER">MS_Daily!$B$30</definedName>
    <definedName name="GBP_PMRQ">MS_Daily!$J$21</definedName>
    <definedName name="GBP_PMRQFILE">MS_Daily!$K$21</definedName>
    <definedName name="GBP_RATE">MS_Daily!$H$5</definedName>
    <definedName name="GBP_RATE_P">MS_Daily!$B$5</definedName>
    <definedName name="GBP_REPORT">MS_Daily!$J$12</definedName>
    <definedName name="GBP_REPORTFILE">MS_Daily!$K$12</definedName>
    <definedName name="GBP_RP">MS_Daily!$C$30</definedName>
    <definedName name="HKD_DELTA_REPORT">MS_Daily!#REF!</definedName>
    <definedName name="HKD_NAME">MS_Daily!#REF!</definedName>
    <definedName name="HKD_PMRQ">MS_Daily!#REF!</definedName>
    <definedName name="HKD_PMRQFILE">MS_Daily!#REF!</definedName>
    <definedName name="HKD_RATE">MS_Daily!#REF!</definedName>
    <definedName name="HKD_RATE_P">MS_Daily!#REF!</definedName>
    <definedName name="HKD_REPORT">MS_Daily!#REF!</definedName>
    <definedName name="HKD_REPORTFILE">MS_Daily!#REF!</definedName>
    <definedName name="PREV_AED">MS_Daily!$D$15</definedName>
    <definedName name="PREV_AED_USD">MS_Daily!$D$7</definedName>
    <definedName name="PREV_CHF">MS_Daily!$D$14</definedName>
    <definedName name="PREV_CHF_USD">MS_Daily!$D$6</definedName>
    <definedName name="PREV_EUR">MS_Daily!$D$12</definedName>
    <definedName name="PREV_EUR_USD">MS_Daily!$D$4</definedName>
    <definedName name="PREV_GBP">MS_Daily!$D$13</definedName>
    <definedName name="PREV_GBP_USD">MS_Daily!$D$5</definedName>
    <definedName name="PREV_HKD">MS_Daily!#REF!</definedName>
    <definedName name="PREV_HKD_USD">MS_Daily!#REF!</definedName>
    <definedName name="PREV_USD">MS_Daily!$D$11</definedName>
    <definedName name="PREV_USD_USD">MS_Daily!$D$3</definedName>
    <definedName name="RATE_AED_USD">MS_Daily!$F$7</definedName>
    <definedName name="RATE_CHF_USD">MS_Daily!$F$6</definedName>
    <definedName name="RATE_EUR_USD">MS_Daily!$F$4</definedName>
    <definedName name="RATE_GBP_USD">MS_Daily!$F$5</definedName>
    <definedName name="RATE_HKD_USD">MS_Daily!#REF!</definedName>
    <definedName name="USD_ADMIN">MS_Daily!$F$28</definedName>
    <definedName name="USD_CASH">MS_Daily!$H$28</definedName>
    <definedName name="USD_CHARGES">MS_Daily!$D$28</definedName>
    <definedName name="USD_DELTA_PMRQ">MS_Daily!$L$19</definedName>
    <definedName name="USD_DELTA_REPORT">MS_Daily!$L$10</definedName>
    <definedName name="USD_EXTRA">MS_Daily!$K$28</definedName>
    <definedName name="USD_FX">MS_Daily!$G$28</definedName>
    <definedName name="USD_ICL">MS_Daily!$J$28</definedName>
    <definedName name="USD_LSB">MS_Daily!$E$28</definedName>
    <definedName name="USD_MS">MS_Daily!$I$28</definedName>
    <definedName name="USD_NAME">MS_Daily!$C$3</definedName>
    <definedName name="USD_OTHER">MS_Daily!$B$28</definedName>
    <definedName name="USD_PMRQ">MS_Daily!$J$19</definedName>
    <definedName name="USD_PMRQFILE">MS_Daily!$K$19</definedName>
    <definedName name="USD_REPORT">MS_Daily!$J$10</definedName>
    <definedName name="USD_REPORTFILE">MS_Daily!$K$10</definedName>
    <definedName name="USD_RP">MS_Daily!$C$28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32" i="3" l="1"/>
  <c r="J32" i="3"/>
  <c r="I32" i="3"/>
  <c r="H32" i="3"/>
  <c r="G32" i="3"/>
  <c r="F32" i="3"/>
  <c r="E32" i="3"/>
  <c r="D32" i="3"/>
  <c r="C32" i="3"/>
  <c r="B32" i="3"/>
  <c r="K14" i="3"/>
  <c r="J14" i="3"/>
  <c r="L14" i="3" s="1"/>
  <c r="J23" i="3"/>
  <c r="F15" i="3" l="1"/>
  <c r="H15" i="3" s="1"/>
  <c r="D15" i="3"/>
  <c r="D7" i="3" s="1" a="1"/>
  <c r="D7" i="3" s="1"/>
  <c r="G7" i="3" l="1"/>
  <c r="E15" i="3" a="1"/>
  <c r="E15" i="3" s="1"/>
  <c r="E7" i="3" s="1"/>
  <c r="F7" i="3" s="1" a="1"/>
  <c r="F7" i="3" s="1"/>
  <c r="K31" i="3"/>
  <c r="K30" i="3"/>
  <c r="K29" i="3"/>
  <c r="K28" i="3"/>
  <c r="F31" i="3"/>
  <c r="F30" i="3"/>
  <c r="F29" i="3"/>
  <c r="F28" i="3"/>
  <c r="F26" i="3" s="1"/>
  <c r="J31" i="3"/>
  <c r="J30" i="3"/>
  <c r="J29" i="3"/>
  <c r="J28" i="3"/>
  <c r="J26" i="3" s="1"/>
  <c r="K26" i="3" l="1"/>
  <c r="J10" i="3"/>
  <c r="K10" i="3"/>
  <c r="J11" i="3"/>
  <c r="K11" i="3"/>
  <c r="J12" i="3"/>
  <c r="K12" i="3"/>
  <c r="J13" i="3"/>
  <c r="K13" i="3"/>
  <c r="J19" i="3"/>
  <c r="K19" i="3"/>
  <c r="J20" i="3"/>
  <c r="K20" i="3"/>
  <c r="C31" i="3"/>
  <c r="C30" i="3"/>
  <c r="C29" i="3"/>
  <c r="K8" i="3" l="1"/>
  <c r="J8" i="3"/>
  <c r="L13" i="3"/>
  <c r="L12" i="3"/>
  <c r="L20" i="3"/>
  <c r="L11" i="3"/>
  <c r="L10" i="3"/>
  <c r="L19" i="3"/>
  <c r="C28" i="3"/>
  <c r="C26" i="3" s="1"/>
  <c r="B31" i="3"/>
  <c r="B30" i="3"/>
  <c r="B29" i="3"/>
  <c r="B28" i="3"/>
  <c r="B26" i="3" l="1"/>
  <c r="L8" i="3"/>
  <c r="I31" i="3"/>
  <c r="I30" i="3"/>
  <c r="I29" i="3"/>
  <c r="I28" i="3"/>
  <c r="I26" i="3" s="1"/>
  <c r="H31" i="3"/>
  <c r="H30" i="3"/>
  <c r="H29" i="3"/>
  <c r="H28" i="3"/>
  <c r="G31" i="3"/>
  <c r="G30" i="3"/>
  <c r="G29" i="3"/>
  <c r="G28" i="3"/>
  <c r="G26" i="3" s="1"/>
  <c r="H26" i="3" l="1"/>
  <c r="E31" i="3"/>
  <c r="D31" i="3"/>
  <c r="E30" i="3"/>
  <c r="D30" i="3"/>
  <c r="E29" i="3"/>
  <c r="D29" i="3"/>
  <c r="E28" i="3"/>
  <c r="E26" i="3" s="1"/>
  <c r="D28" i="3"/>
  <c r="D26" i="3" s="1"/>
  <c r="K23" i="3" l="1"/>
  <c r="L23" i="3" s="1"/>
  <c r="K22" i="3" l="1"/>
  <c r="K21" i="3"/>
  <c r="K17" i="3" l="1"/>
  <c r="D14" i="3"/>
  <c r="D6" i="3" s="1"/>
  <c r="D13" i="3"/>
  <c r="D5" i="3" s="1"/>
  <c r="D12" i="3"/>
  <c r="D4" i="3" s="1"/>
  <c r="D11" i="3"/>
  <c r="D3" i="3" s="1"/>
  <c r="D2" i="3" s="1"/>
  <c r="F14" i="3"/>
  <c r="F13" i="3"/>
  <c r="H13" i="3" s="1"/>
  <c r="F12" i="3"/>
  <c r="G4" i="3" s="1"/>
  <c r="F11" i="3"/>
  <c r="G3" i="3" s="1"/>
  <c r="G6" i="3" l="1"/>
  <c r="H14" i="3"/>
  <c r="H12" i="3"/>
  <c r="H11" i="3"/>
  <c r="E14" i="3"/>
  <c r="E6" i="3" s="1"/>
  <c r="E13" i="3"/>
  <c r="E5" i="3" s="1"/>
  <c r="G5" i="3"/>
  <c r="G2" i="3" s="1"/>
  <c r="E12" i="3"/>
  <c r="E4" i="3" s="1"/>
  <c r="F4" i="3" s="1"/>
  <c r="E11" i="3"/>
  <c r="E3" i="3" s="1"/>
  <c r="E2" i="3" s="1"/>
  <c r="F6" i="3" l="1"/>
  <c r="F2" i="3" s="1"/>
  <c r="F5" i="3"/>
  <c r="J22" i="3" l="1"/>
  <c r="L22" i="3" s="1"/>
  <c r="J21" i="3"/>
  <c r="J17" i="3" s="1"/>
  <c r="L21" i="3" l="1"/>
  <c r="L1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<sst xmlns="http://schemas.openxmlformats.org/spreadsheetml/2006/main" count="103" uniqueCount="73">
  <si>
    <t>Currency</t>
  </si>
  <si>
    <t>CHF</t>
  </si>
  <si>
    <t>EUR</t>
  </si>
  <si>
    <t>USD</t>
  </si>
  <si>
    <t>GBP</t>
  </si>
  <si>
    <t>Description</t>
  </si>
  <si>
    <t>FromTo</t>
  </si>
  <si>
    <t/>
  </si>
  <si>
    <t>PREVIOUS</t>
  </si>
  <si>
    <t>ACTIVITY</t>
  </si>
  <si>
    <t>BALANCE</t>
  </si>
  <si>
    <t>PENDING</t>
  </si>
  <si>
    <t>TOTAL</t>
  </si>
  <si>
    <t>TEST</t>
  </si>
  <si>
    <t>TEST2</t>
  </si>
  <si>
    <t>TEST3</t>
  </si>
  <si>
    <t>Σ activity by curr.</t>
  </si>
  <si>
    <t>Bank</t>
  </si>
  <si>
    <t>PREVIOUS $</t>
  </si>
  <si>
    <t>ACTIVITY $</t>
  </si>
  <si>
    <t>BALANCE $</t>
  </si>
  <si>
    <t>RATE $</t>
  </si>
  <si>
    <t>Charges</t>
  </si>
  <si>
    <t>Debit/Credit</t>
  </si>
  <si>
    <t>Report</t>
  </si>
  <si>
    <t>PMRQ</t>
  </si>
  <si>
    <t>y</t>
  </si>
  <si>
    <t>lb</t>
  </si>
  <si>
    <t>Date</t>
  </si>
  <si>
    <t>Total</t>
  </si>
  <si>
    <t>Regulated</t>
  </si>
  <si>
    <t>Report $</t>
  </si>
  <si>
    <t>PMRQ $</t>
  </si>
  <si>
    <t>Account</t>
  </si>
  <si>
    <t>Cur</t>
  </si>
  <si>
    <t>SUM</t>
  </si>
  <si>
    <t>Beneficiary</t>
  </si>
  <si>
    <t>AED</t>
  </si>
  <si>
    <t>Comlog $</t>
  </si>
  <si>
    <t>Comlog</t>
  </si>
  <si>
    <t>Check</t>
  </si>
  <si>
    <t>TrType</t>
  </si>
  <si>
    <t>STATUS(MS)</t>
  </si>
  <si>
    <t>Δ Report $</t>
  </si>
  <si>
    <t>Δ Report</t>
  </si>
  <si>
    <t>Δ PMRQ $</t>
  </si>
  <si>
    <t>Δ PMRQ</t>
  </si>
  <si>
    <t>Charges $</t>
  </si>
  <si>
    <t>LSB $</t>
  </si>
  <si>
    <t>LSB</t>
  </si>
  <si>
    <t>FX $</t>
  </si>
  <si>
    <t>FX</t>
  </si>
  <si>
    <t>Cash $</t>
  </si>
  <si>
    <t>Cash</t>
  </si>
  <si>
    <t>MS $</t>
  </si>
  <si>
    <t>MS</t>
  </si>
  <si>
    <t>Report &amp; PMRQ $</t>
  </si>
  <si>
    <t>Report &amp; PMRQ</t>
  </si>
  <si>
    <t>N</t>
  </si>
  <si>
    <t>ICL refund $</t>
  </si>
  <si>
    <t>ICL refund</t>
  </si>
  <si>
    <t>Intercompany $</t>
  </si>
  <si>
    <t>Intercompany</t>
  </si>
  <si>
    <t>Admin Extra $</t>
  </si>
  <si>
    <t>Admin Extra</t>
  </si>
  <si>
    <t>Control $</t>
  </si>
  <si>
    <t>Control</t>
  </si>
  <si>
    <t>CurCheck</t>
  </si>
  <si>
    <t>SUMCheck</t>
  </si>
  <si>
    <t>Client</t>
  </si>
  <si>
    <t>Note</t>
  </si>
  <si>
    <t>TotalUSD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</si>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</sst>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#,##0_ ;[Red]\-#,##0\ "/>
    <numFmt numFmtId="165" formatCode="[$$-409]#,##0.00_ ;[Red]\-[$$-409]#,##0.00\ "/>
    <numFmt numFmtId="166" formatCode="[$-409]d\-mmm\-yy;@"/>
    <numFmt numFmtId="167" formatCode="[$€-1809]#,##0.00;[Red]\-[$€-1809]#,##0.00"/>
    <numFmt numFmtId="168" formatCode="&quot;£ &quot;#,##0.00;[Red]\-&quot;£ &quot;#,##0.00"/>
    <numFmt numFmtId="169" formatCode="[$CHF]\ #,##0.00;[Red]\-[$CHF]\ #,##0.00"/>
    <numFmt numFmtId="170" formatCode="0.00000"/>
    <numFmt numFmtId="171" formatCode="#,##0.00_ ;[Red]\-#,##0.00\ "/>
    <numFmt numFmtId="172" formatCode="[$AED]\ #,##0.00;[Red]\-[$AED]#,##0.00"/>
  </numFmts>
  <fonts count="15" x14ac:knownFonts="1"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b/>
      <sz val="12"/>
      <name val="Verdana"/>
      <family val="2"/>
      <charset val="204"/>
    </font>
    <font>
      <b/>
      <sz val="10"/>
      <color indexed="9"/>
      <name val="Verdana"/>
      <family val="2"/>
      <charset val="204"/>
    </font>
    <font>
      <b/>
      <sz val="10"/>
      <name val="Verdana"/>
      <family val="2"/>
      <charset val="204"/>
    </font>
    <font>
      <b/>
      <sz val="10"/>
      <color indexed="12"/>
      <name val="Verdana"/>
      <family val="2"/>
    </font>
    <font>
      <b/>
      <sz val="14"/>
      <color theme="1"/>
      <name val="Calibri"/>
      <family val="2"/>
      <charset val="204"/>
      <scheme val="minor"/>
    </font>
    <font>
      <b/>
      <sz val="14"/>
      <color rgb="FFFFFF00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b/>
      <sz val="10"/>
      <name val="Verdana"/>
      <family val="2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charset val="204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DE9D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1" fillId="0" borderId="0"/>
    <xf numFmtId="0" fontId="2" fillId="0" borderId="0"/>
  </cellStyleXfs>
  <cellXfs count="49">
    <xf numFmtId="0" fontId="0" fillId="0" borderId="0" xfId="0"/>
    <xf numFmtId="0" fontId="2" fillId="0" borderId="0" xfId="0" applyFont="1"/>
    <xf numFmtId="165" fontId="3" fillId="0" borderId="0" xfId="1" applyFont="1" applyAlignment="1"/>
    <xf numFmtId="166" fontId="4" fillId="3" borderId="0" xfId="0" applyNumberFormat="1" applyFont="1" applyFill="1" applyAlignment="1">
      <alignment horizontal="left" indent="1"/>
    </xf>
    <xf numFmtId="40" fontId="5" fillId="4" borderId="0" xfId="0" applyNumberFormat="1" applyFont="1" applyFill="1" applyAlignment="1">
      <alignment horizontal="center" vertical="center"/>
    </xf>
    <xf numFmtId="165" fontId="6" fillId="6" borderId="1" xfId="0" applyNumberFormat="1" applyFont="1" applyFill="1" applyBorder="1" applyAlignment="1">
      <alignment horizontal="right"/>
    </xf>
    <xf numFmtId="165" fontId="6" fillId="5" borderId="4" xfId="0" applyNumberFormat="1" applyFont="1" applyFill="1" applyBorder="1" applyAlignment="1">
      <alignment horizontal="right"/>
    </xf>
    <xf numFmtId="167" fontId="6" fillId="7" borderId="1" xfId="0" applyNumberFormat="1" applyFont="1" applyFill="1" applyBorder="1"/>
    <xf numFmtId="167" fontId="6" fillId="7" borderId="1" xfId="0" applyNumberFormat="1" applyFont="1" applyFill="1" applyBorder="1" applyAlignment="1">
      <alignment horizontal="right"/>
    </xf>
    <xf numFmtId="167" fontId="6" fillId="7" borderId="6" xfId="0" applyNumberFormat="1" applyFont="1" applyFill="1" applyBorder="1"/>
    <xf numFmtId="167" fontId="6" fillId="5" borderId="7" xfId="0" applyNumberFormat="1" applyFont="1" applyFill="1" applyBorder="1"/>
    <xf numFmtId="168" fontId="7" fillId="5" borderId="1" xfId="0" applyNumberFormat="1" applyFont="1" applyFill="1" applyBorder="1" applyAlignment="1">
      <alignment horizontal="right"/>
    </xf>
    <xf numFmtId="0" fontId="2" fillId="0" borderId="3" xfId="0" applyFont="1" applyBorder="1"/>
    <xf numFmtId="0" fontId="2" fillId="0" borderId="1" xfId="0" applyFont="1" applyBorder="1"/>
    <xf numFmtId="164" fontId="2" fillId="0" borderId="1" xfId="0" applyNumberFormat="1" applyFont="1" applyBorder="1"/>
    <xf numFmtId="164" fontId="8" fillId="0" borderId="2" xfId="0" applyNumberFormat="1" applyFont="1" applyBorder="1" applyAlignment="1">
      <alignment horizontal="right" indent="1"/>
    </xf>
    <xf numFmtId="0" fontId="9" fillId="10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2" fillId="0" borderId="1" xfId="0" applyFont="1" applyBorder="1" applyAlignment="1">
      <alignment horizontal="center"/>
    </xf>
    <xf numFmtId="170" fontId="2" fillId="0" borderId="0" xfId="0" applyNumberFormat="1" applyFont="1"/>
    <xf numFmtId="165" fontId="6" fillId="6" borderId="0" xfId="0" applyNumberFormat="1" applyFont="1" applyFill="1" applyBorder="1" applyAlignment="1">
      <alignment horizontal="right"/>
    </xf>
    <xf numFmtId="0" fontId="0" fillId="11" borderId="0" xfId="0" applyFont="1" applyFill="1"/>
    <xf numFmtId="165" fontId="6" fillId="11" borderId="0" xfId="0" applyNumberFormat="1" applyFont="1" applyFill="1" applyBorder="1" applyAlignment="1">
      <alignment horizontal="right"/>
    </xf>
    <xf numFmtId="0" fontId="0" fillId="12" borderId="0" xfId="0" applyFont="1" applyFill="1"/>
    <xf numFmtId="165" fontId="6" fillId="12" borderId="0" xfId="0" applyNumberFormat="1" applyFont="1" applyFill="1" applyBorder="1" applyAlignment="1">
      <alignment horizontal="right"/>
    </xf>
    <xf numFmtId="0" fontId="2" fillId="0" borderId="0" xfId="0" applyFont="1" applyBorder="1"/>
    <xf numFmtId="0" fontId="0" fillId="2" borderId="0" xfId="0" applyFont="1" applyFill="1" applyBorder="1"/>
    <xf numFmtId="165" fontId="6" fillId="2" borderId="0" xfId="0" applyNumberFormat="1" applyFont="1" applyFill="1" applyBorder="1" applyAlignment="1">
      <alignment horizontal="right"/>
    </xf>
    <xf numFmtId="0" fontId="11" fillId="9" borderId="0" xfId="0" applyFont="1" applyFill="1" applyAlignment="1">
      <alignment horizontal="center" vertical="center"/>
    </xf>
    <xf numFmtId="164" fontId="8" fillId="0" borderId="8" xfId="0" applyNumberFormat="1" applyFont="1" applyBorder="1" applyAlignment="1">
      <alignment horizontal="right" indent="1"/>
    </xf>
    <xf numFmtId="0" fontId="2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center"/>
    </xf>
    <xf numFmtId="168" fontId="12" fillId="8" borderId="1" xfId="0" applyNumberFormat="1" applyFont="1" applyFill="1" applyBorder="1" applyAlignment="1">
      <alignment horizontal="right"/>
    </xf>
    <xf numFmtId="168" fontId="12" fillId="8" borderId="3" xfId="0" applyNumberFormat="1" applyFont="1" applyFill="1" applyBorder="1" applyAlignment="1">
      <alignment horizontal="right"/>
    </xf>
    <xf numFmtId="169" fontId="12" fillId="2" borderId="1" xfId="0" applyNumberFormat="1" applyFont="1" applyFill="1" applyBorder="1" applyAlignment="1">
      <alignment horizontal="right"/>
    </xf>
    <xf numFmtId="0" fontId="0" fillId="0" borderId="0" xfId="0" applyAlignment="1">
      <alignment horizontal="center"/>
    </xf>
    <xf numFmtId="14" fontId="0" fillId="0" borderId="0" xfId="0" applyNumberFormat="1"/>
    <xf numFmtId="171" fontId="0" fillId="0" borderId="0" xfId="0" applyNumberFormat="1"/>
    <xf numFmtId="40" fontId="5" fillId="13" borderId="0" xfId="0" applyNumberFormat="1" applyFont="1" applyFill="1" applyAlignment="1">
      <alignment horizontal="center" vertical="center"/>
    </xf>
    <xf numFmtId="40" fontId="6" fillId="5" borderId="1" xfId="0" applyNumberFormat="1" applyFont="1" applyFill="1" applyBorder="1" applyAlignment="1">
      <alignment horizontal="center" vertical="center"/>
    </xf>
    <xf numFmtId="0" fontId="0" fillId="0" borderId="0" xfId="0" applyFont="1"/>
    <xf numFmtId="0" fontId="14" fillId="0" borderId="1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0" fillId="0" borderId="0" xfId="0" applyAlignment="1">
      <alignment horizontal="center"/>
    </xf>
    <xf numFmtId="171" fontId="0" fillId="0" borderId="0" xfId="0" applyNumberFormat="1"/>
    <xf numFmtId="170" fontId="0" fillId="0" borderId="0" xfId="0" applyNumberFormat="1" applyFont="1"/>
    <xf numFmtId="0" fontId="0" fillId="14" borderId="0" xfId="0" applyFont="1" applyFill="1"/>
    <xf numFmtId="172" fontId="12" fillId="14" borderId="1" xfId="0" applyNumberFormat="1" applyFont="1" applyFill="1" applyBorder="1" applyAlignment="1">
      <alignment horizontal="right"/>
    </xf>
    <xf numFmtId="165" fontId="6" fillId="14" borderId="0" xfId="0" applyNumberFormat="1" applyFont="1" applyFill="1" applyBorder="1" applyAlignment="1">
      <alignment horizontal="right"/>
    </xf>
  </cellXfs>
  <cellStyles count="3">
    <cellStyle name="Normal" xfId="0" builtinId="0"/>
    <cellStyle name="Normal 2" xfId="2" xr:uid="{00000000-0005-0000-0000-000001000000}"/>
    <cellStyle name="Normal 4" xfId="1" xr:uid="{00000000-0005-0000-0000-000002000000}"/>
  </cellStyles>
  <dxfs count="32"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  <dxf>
      <fill>
        <patternFill>
          <bgColor rgb="FFFDE9D9"/>
        </patternFill>
      </fill>
    </dxf>
    <dxf>
      <numFmt numFmtId="171" formatCode="#,##0.00_ ;[Red]\-#,##0.00\ "/>
    </dxf>
    <dxf>
      <numFmt numFmtId="171" formatCode="#,##0.00_ ;[Red]\-#,##0.00\ "/>
    </dxf>
    <dxf>
      <numFmt numFmtId="19" formatCode="dd/mm/yyyy"/>
    </dxf>
    <dxf>
      <numFmt numFmtId="171" formatCode="#,##0.00_ ;[Red]\-#,##0.00\ "/>
    </dxf>
    <dxf>
      <numFmt numFmtId="171" formatCode="#,##0.00_ ;[Red]\-#,##0.00\ "/>
    </dxf>
    <dxf>
      <numFmt numFmtId="171" formatCode="#,##0.00_ ;[Red]\-#,##0.00\ "/>
    </dxf>
    <dxf>
      <numFmt numFmtId="19" formatCode="dd/mm/yyyy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#,##0_ ;[Red]\-#,##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_ ;[Red]\-#,##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Medium9"/>
  <colors>
    <mruColors>
      <color rgb="FFFDE9D9"/>
      <color rgb="FFFFFF99"/>
      <color rgb="FFFFCC99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1</xdr:row>
          <xdr:rowOff>19050</xdr:rowOff>
        </xdr:from>
        <xdr:to>
          <xdr:col>1</xdr:col>
          <xdr:colOff>952500</xdr:colOff>
          <xdr:row>1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</xdr:row>
          <xdr:rowOff>19050</xdr:rowOff>
        </xdr:from>
        <xdr:to>
          <xdr:col>2</xdr:col>
          <xdr:colOff>952500</xdr:colOff>
          <xdr:row>1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PMRQ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MsDailyTable" displayName="MsDailyTable" ref="B35:M45" totalsRowShown="0" headerRowDxfId="31">
  <autoFilter ref="B35:M45" xr:uid="{00000000-0009-0000-0100-000002000000}"/>
  <tableColumns count="12">
    <tableColumn id="1" xr3:uid="{00000000-0010-0000-0000-000001000000}" name="PREVIOUS" dataDxfId="30"/>
    <tableColumn id="2" xr3:uid="{00000000-0010-0000-0000-000002000000}" name="Bank" dataDxfId="29"/>
    <tableColumn id="3" xr3:uid="{00000000-0010-0000-0000-000003000000}" name="Currency" dataDxfId="28"/>
    <tableColumn id="4" xr3:uid="{00000000-0010-0000-0000-000004000000}" name="FromTo" dataDxfId="27"/>
    <tableColumn id="5" xr3:uid="{00000000-0010-0000-0000-000005000000}" name="Description" dataDxfId="26"/>
    <tableColumn id="6" xr3:uid="{00000000-0010-0000-0000-000006000000}" name="Debit/Credit" dataDxfId="25"/>
    <tableColumn id="7" xr3:uid="{00000000-0010-0000-0000-000007000000}" name="Charges" dataDxfId="24"/>
    <tableColumn id="8" xr3:uid="{00000000-0010-0000-0000-000008000000}" name="Σ activity by curr." dataDxfId="23"/>
    <tableColumn id="9" xr3:uid="{00000000-0010-0000-0000-000009000000}" name="BALANCE" dataDxfId="22"/>
    <tableColumn id="10" xr3:uid="{00000000-0010-0000-0000-00000A000000}" name="Report" dataDxfId="21"/>
    <tableColumn id="11" xr3:uid="{00000000-0010-0000-0000-00000B000000}" name="PMRQ" dataDxfId="20"/>
    <tableColumn id="12" xr3:uid="{00000000-0010-0000-0000-00000C000000}" name="TrType" dataDxfId="19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Activity" displayName="Activity" ref="B2:M3" insertRow="1" totalsRowShown="0" headerRowDxfId="18">
  <autoFilter ref="B2:M3" xr:uid="{00000000-0009-0000-0100-000001000000}"/>
  <tableColumns count="12">
    <tableColumn id="1" xr3:uid="{00000000-0010-0000-0100-000001000000}" name="Date" dataDxfId="17"/>
    <tableColumn id="2" xr3:uid="{00000000-0010-0000-0100-000002000000}" name="Bank"/>
    <tableColumn id="3" xr3:uid="{00000000-0010-0000-0100-000003000000}" name="Currency"/>
    <tableColumn id="4" xr3:uid="{00000000-0010-0000-0100-000004000000}" name="Total" dataDxfId="16"/>
    <tableColumn id="5" xr3:uid="{00000000-0010-0000-0100-000005000000}" name="Regulated"/>
    <tableColumn id="6" xr3:uid="{00000000-0010-0000-0100-000006000000}" name="Client"/>
    <tableColumn id="7" xr3:uid="{00000000-0010-0000-0100-000007000000}" name="Note"/>
    <tableColumn id="9" xr3:uid="{00000000-0010-0000-0100-000009000000}" name="TotalUSD" dataDxfId="15"/>
    <tableColumn id="8" xr3:uid="{00000000-0010-0000-0100-000008000000}" name="Check"/>
    <tableColumn id="10" xr3:uid="{00000000-0010-0000-0100-00000A000000}" name="CurCheck"/>
    <tableColumn id="11" xr3:uid="{00000000-0010-0000-0100-00000B000000}" name="SUMCheck" dataDxfId="14"/>
    <tableColumn id="12" xr3:uid="{00000000-0010-0000-0100-00000C000000}" name="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PMRQ" displayName="PMRQ" ref="B2:M3" insertRow="1" totalsRowShown="0">
  <autoFilter ref="B2:M3" xr:uid="{00000000-0009-0000-0100-000004000000}"/>
  <tableColumns count="12">
    <tableColumn id="1" xr3:uid="{00000000-0010-0000-0200-000001000000}" name="N"/>
    <tableColumn id="2" xr3:uid="{00000000-0010-0000-0200-000002000000}" name="Date" dataDxfId="13"/>
    <tableColumn id="3" xr3:uid="{00000000-0010-0000-0200-000003000000}" name="Bank"/>
    <tableColumn id="4" xr3:uid="{00000000-0010-0000-0200-000004000000}" name="Account"/>
    <tableColumn id="5" xr3:uid="{00000000-0010-0000-0200-000005000000}" name="Cur"/>
    <tableColumn id="6" xr3:uid="{00000000-0010-0000-0200-000006000000}" name="SUM" dataDxfId="12"/>
    <tableColumn id="7" xr3:uid="{00000000-0010-0000-0200-000007000000}" name="Beneficiary"/>
    <tableColumn id="8" xr3:uid="{00000000-0010-0000-0200-000008000000}" name="Description"/>
    <tableColumn id="9" xr3:uid="{00000000-0010-0000-0200-000009000000}" name="STATUS(MS)"/>
    <tableColumn id="10" xr3:uid="{00000000-0010-0000-0200-00000A000000}" name="Check"/>
    <tableColumn id="11" xr3:uid="{00000000-0010-0000-0200-00000B000000}" name="CurCheck"/>
    <tableColumn id="12" xr3:uid="{00000000-0010-0000-0200-00000C000000}" name="SUMCheck" dataDxfId="1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fitToPage="1"/>
  </sheetPr>
  <dimension ref="A1:N45"/>
  <sheetViews>
    <sheetView tabSelected="1" zoomScale="90" zoomScaleNormal="90" workbookViewId="0">
      <selection activeCell="F20" sqref="F20"/>
    </sheetView>
  </sheetViews>
  <sheetFormatPr defaultColWidth="8.7109375" defaultRowHeight="15" x14ac:dyDescent="0.25"/>
  <cols>
    <col min="1" max="1" width="4.140625" style="1" customWidth="1"/>
    <col min="2" max="2" width="17.85546875" style="1" customWidth="1"/>
    <col min="3" max="3" width="20" style="1" bestFit="1" customWidth="1"/>
    <col min="4" max="4" width="20.5703125" style="1" customWidth="1"/>
    <col min="5" max="5" width="23.28515625" style="1" customWidth="1"/>
    <col min="6" max="6" width="29.7109375" style="1" customWidth="1"/>
    <col min="7" max="7" width="22.140625" style="1" customWidth="1"/>
    <col min="8" max="8" width="18.7109375" style="1" customWidth="1"/>
    <col min="9" max="9" width="26.85546875" style="1" customWidth="1"/>
    <col min="10" max="10" width="18.5703125" style="1" customWidth="1"/>
    <col min="11" max="11" width="20" style="1" bestFit="1" customWidth="1"/>
    <col min="12" max="12" width="21" style="1" bestFit="1" customWidth="1"/>
    <col min="13" max="13" width="17.28515625" style="1" bestFit="1" customWidth="1"/>
    <col min="14" max="16384" width="8.7109375" style="1"/>
  </cols>
  <sheetData>
    <row r="1" spans="1:13" ht="15.75" x14ac:dyDescent="0.25">
      <c r="B1" s="3">
        <v>43194</v>
      </c>
      <c r="C1" s="3"/>
      <c r="D1" s="4" t="s">
        <v>18</v>
      </c>
      <c r="E1" s="4" t="s">
        <v>19</v>
      </c>
      <c r="F1" s="4" t="s">
        <v>21</v>
      </c>
      <c r="G1" s="4" t="s">
        <v>20</v>
      </c>
      <c r="H1" s="2"/>
    </row>
    <row r="2" spans="1:13" x14ac:dyDescent="0.25">
      <c r="D2" s="5">
        <f>PREV_USD_USD+PREV_EUR_USD+PREV_GBP_USD+PREV_CHF_USD+PREV_AED_USD</f>
        <v>249389.11499999996</v>
      </c>
      <c r="E2" s="5">
        <f>ACTIVITY_USD_USD+ACTIVITY_EUR_USD+ACTIVITY_GBP_USD+ACTIVITY_CHF_USD+ACTIVITY_AED_USD</f>
        <v>-566480.49261500011</v>
      </c>
      <c r="F2" s="5">
        <f>RATE_EUR_USD+RATE_GBP_USD+RATE_CHF_USD+RATE_AED_USD</f>
        <v>-1472.3271310000248</v>
      </c>
      <c r="G2" s="5">
        <f>BALANCE_USD_USD+BALANCE_EUR_USD+BALANCE_GBP_USD+BALANCE_CHF_USD+BALANCE_AED_USD</f>
        <v>-318563.70474600012</v>
      </c>
      <c r="H2" s="2"/>
      <c r="J2" s="4" t="s">
        <v>38</v>
      </c>
      <c r="K2" s="4" t="s">
        <v>31</v>
      </c>
      <c r="L2" s="4" t="s">
        <v>43</v>
      </c>
    </row>
    <row r="3" spans="1:13" customFormat="1" hidden="1" x14ac:dyDescent="0.25">
      <c r="A3" s="1"/>
      <c r="B3" s="1"/>
      <c r="C3" s="25" t="s">
        <v>3</v>
      </c>
      <c r="D3" s="20">
        <f>PREV_USD</f>
        <v>51352.54</v>
      </c>
      <c r="E3" s="20">
        <f>ACTIVITY_USD</f>
        <v>-49407.49</v>
      </c>
      <c r="F3" s="20">
        <v>0</v>
      </c>
      <c r="G3" s="20">
        <f>BALANCE_USD</f>
        <v>1945.05</v>
      </c>
      <c r="H3" s="1"/>
      <c r="I3" s="1"/>
      <c r="J3" s="1"/>
      <c r="K3" s="1"/>
      <c r="L3" s="1"/>
      <c r="M3" s="1"/>
    </row>
    <row r="4" spans="1:13" hidden="1" x14ac:dyDescent="0.25">
      <c r="B4" s="19">
        <v>1.2</v>
      </c>
      <c r="C4" s="21" t="s">
        <v>2</v>
      </c>
      <c r="D4" s="22">
        <f>PREV_EUR*EUR_RATE_P</f>
        <v>3123.4560000000001</v>
      </c>
      <c r="E4" s="22">
        <f>ACTIVITY_EUR*EUR_RATE</f>
        <v>-517197.06390000001</v>
      </c>
      <c r="F4" s="22">
        <f>BALANCE_EUR_USD-(PREV_EUR_USD+ACTIVITY_EUR_USD)</f>
        <v>26.028799999970943</v>
      </c>
      <c r="G4" s="22">
        <f>BALANCE_EUR*EUR_RATE</f>
        <v>-514047.57910000003</v>
      </c>
      <c r="H4" s="19">
        <v>1.21</v>
      </c>
    </row>
    <row r="5" spans="1:13" hidden="1" x14ac:dyDescent="0.25">
      <c r="B5" s="19">
        <v>1.3</v>
      </c>
      <c r="C5" s="23" t="s">
        <v>4</v>
      </c>
      <c r="D5" s="24">
        <f>PREV_GBP*GBP_RATE_P</f>
        <v>194886.15899999999</v>
      </c>
      <c r="E5" s="24">
        <f>ACTIVITY_GBP*GBP_RATE</f>
        <v>129</v>
      </c>
      <c r="F5" s="24">
        <f>BALANCE_GBP_USD-(PREV_GBP_USD+ACTIVITY_GBP_USD)</f>
        <v>-1499.1242999999959</v>
      </c>
      <c r="G5" s="24">
        <f>BALANCE_GBP*GBP_RATE</f>
        <v>193516.03469999999</v>
      </c>
      <c r="H5" s="19">
        <v>1.29</v>
      </c>
    </row>
    <row r="6" spans="1:13" hidden="1" x14ac:dyDescent="0.25">
      <c r="B6" s="19">
        <v>1.04</v>
      </c>
      <c r="C6" s="26" t="s">
        <v>1</v>
      </c>
      <c r="D6" s="27">
        <f>PREV_CHF*CHF_RATE_P</f>
        <v>22.880000000000003</v>
      </c>
      <c r="E6" s="27">
        <f>ACTIVITY_CHF*CHF_RATE</f>
        <v>-6.3000000000000007</v>
      </c>
      <c r="F6" s="27">
        <f>BALANCE_CHF_USD-(PREV_CHF_USD+ACTIVITY_CHF_USD)</f>
        <v>0.21999999999999886</v>
      </c>
      <c r="G6" s="27">
        <f>BALANCE_CHF*CHF_RATE</f>
        <v>16.8</v>
      </c>
      <c r="H6" s="19">
        <v>1.05</v>
      </c>
    </row>
    <row r="7" spans="1:13" hidden="1" x14ac:dyDescent="0.25">
      <c r="B7" s="45">
        <v>0.24</v>
      </c>
      <c r="C7" s="46" t="s">
        <v>37</v>
      </c>
      <c r="D7" s="48" cm="1">
        <f t="array" ref="D7">PREV_AED*AED_RATE_P</f>
        <v>4.08</v>
      </c>
      <c r="E7" s="48">
        <f>ACTIVITY_AED*AED_RATE</f>
        <v>1.3612850000000001</v>
      </c>
      <c r="F7" s="48" cm="1">
        <f t="array" ref="F7">BALANCE_AED_USD-(PREV_AED_USD+ACTIVITY_AED_USD)</f>
        <v>0.54836900000000011</v>
      </c>
      <c r="G7" s="48">
        <f>BALANCE_AED*AED_RATE</f>
        <v>5.9896540000000007</v>
      </c>
      <c r="H7" s="19">
        <v>0.27225700000000003</v>
      </c>
    </row>
    <row r="8" spans="1:13" x14ac:dyDescent="0.25">
      <c r="C8" s="40"/>
      <c r="H8" s="19"/>
      <c r="J8" s="5">
        <f>USD_REPORT+EUR_REPORT*EUR_RATE+GBP_REPORT*GBP_RATE+CHF_REPORT*CHF_RATE+AED_REPORT*AED_RATE</f>
        <v>-315899.57899999997</v>
      </c>
      <c r="K8" s="5">
        <f>USD_REPORTFILE+EUR_REPORTFILE*EUR_RATE+GBP_REPORTFILE*GBP_RATE+CHF_REPORTFILE*CHF_RATE+AED_REPORTFILE*AED_RATE</f>
        <v>0</v>
      </c>
      <c r="L8" s="5">
        <f>ALL_REPORT-ALL_REPORTFILE</f>
        <v>-315899.57899999997</v>
      </c>
    </row>
    <row r="9" spans="1:13" x14ac:dyDescent="0.25">
      <c r="C9" s="40"/>
      <c r="H9" s="19"/>
      <c r="J9" s="38" t="s">
        <v>39</v>
      </c>
      <c r="K9" s="38" t="s">
        <v>24</v>
      </c>
      <c r="L9" s="38" t="s">
        <v>44</v>
      </c>
    </row>
    <row r="10" spans="1:13" x14ac:dyDescent="0.25">
      <c r="C10" s="40"/>
      <c r="D10" s="38" t="s">
        <v>8</v>
      </c>
      <c r="E10" s="38" t="s">
        <v>9</v>
      </c>
      <c r="F10" s="38" t="s">
        <v>10</v>
      </c>
      <c r="G10" s="39" t="s">
        <v>11</v>
      </c>
      <c r="H10" s="38" t="s">
        <v>12</v>
      </c>
      <c r="J10" s="5">
        <f>SUMIFS(MsDailyTable[Debit/Credit],MsDailyTable[Currency],USD_NAME,MsDailyTable[Report],"&lt;&gt;")</f>
        <v>0</v>
      </c>
      <c r="K10" s="5">
        <f>SUMIFS(Activity[Total],Activity[Currency],USD_NAME,Activity[Regulated],FALSE)</f>
        <v>0</v>
      </c>
      <c r="L10" s="5">
        <f>USD_REPORT-USD_REPORTFILE</f>
        <v>0</v>
      </c>
    </row>
    <row r="11" spans="1:13" x14ac:dyDescent="0.25">
      <c r="C11" s="40"/>
      <c r="D11" s="5">
        <f>SUMIFS(MsDailyTable[PREVIOUS],MsDailyTable[Currency],USD_NAME)</f>
        <v>51352.54</v>
      </c>
      <c r="E11" s="5">
        <f>BALANCE_USD-PREV_USD</f>
        <v>-49407.49</v>
      </c>
      <c r="F11" s="5">
        <f>SUMIFS(MsDailyTable[BALANCE],MsDailyTable[Currency],USD_NAME)</f>
        <v>1945.05</v>
      </c>
      <c r="G11" s="6"/>
      <c r="H11" s="5">
        <f>BALANCE_USD+G11</f>
        <v>1945.05</v>
      </c>
      <c r="J11" s="7">
        <f>SUMIFS(MsDailyTable[Debit/Credit],MsDailyTable[Currency],EUR_NAME,MsDailyTable[Report],"&lt;&gt;")</f>
        <v>-261074.9</v>
      </c>
      <c r="K11" s="7">
        <f>SUMIFS(Activity[Total],Activity[Currency],EUR_NAME,Activity[Regulated],FALSE)</f>
        <v>0</v>
      </c>
      <c r="L11" s="7">
        <f>EUR_REPORT-EUR_REPORTFILE</f>
        <v>-261074.9</v>
      </c>
    </row>
    <row r="12" spans="1:13" x14ac:dyDescent="0.25">
      <c r="C12" s="40"/>
      <c r="D12" s="7">
        <f>SUMIFS(MsDailyTable[PREVIOUS],MsDailyTable[Currency],EUR_NAME)</f>
        <v>2602.88</v>
      </c>
      <c r="E12" s="8">
        <f>BALANCE_EUR-PREV_EUR</f>
        <v>-427435.59</v>
      </c>
      <c r="F12" s="9">
        <f>SUMIFS(MsDailyTable[BALANCE],MsDailyTable[Currency],EUR_NAME)</f>
        <v>-424832.71</v>
      </c>
      <c r="G12" s="10"/>
      <c r="H12" s="9">
        <f>BALANCE_EUR+G12</f>
        <v>-424832.71</v>
      </c>
      <c r="J12" s="32">
        <f>SUMIFS(MsDailyTable[Debit/Credit],MsDailyTable[Currency],GBP_NAME,MsDailyTable[Report],"&lt;&gt;")</f>
        <v>0</v>
      </c>
      <c r="K12" s="32">
        <f>SUMIFS(Activity[Total],Activity[Currency],GBP_NAME,Activity[Regulated],FALSE)</f>
        <v>0</v>
      </c>
      <c r="L12" s="32">
        <f>GBP_REPORT-GBP_REPORTFILE</f>
        <v>0</v>
      </c>
    </row>
    <row r="13" spans="1:13" x14ac:dyDescent="0.25">
      <c r="C13" s="40"/>
      <c r="D13" s="32">
        <f>SUMIFS(MsDailyTable[PREVIOUS],MsDailyTable[Currency],GBP_NAME)</f>
        <v>149912.43</v>
      </c>
      <c r="E13" s="33">
        <f>BALANCE_GBP-PREV_GBP</f>
        <v>100</v>
      </c>
      <c r="F13" s="32">
        <f>SUMIFS(MsDailyTable[BALANCE],MsDailyTable[Currency],GBP_NAME)</f>
        <v>150012.43</v>
      </c>
      <c r="G13" s="11"/>
      <c r="H13" s="32">
        <f>BALANCE_GBP+G13</f>
        <v>150012.43</v>
      </c>
      <c r="J13" s="34">
        <f>SUMIFS(MsDailyTable[Debit/Credit],MsDailyTable[Currency],CHF_NAME,MsDailyTable[Report],"&lt;&gt;")</f>
        <v>1</v>
      </c>
      <c r="K13" s="34">
        <f>SUMIFS(Activity[Total],Activity[Currency],CHF_NAME,Activity[Regulated],FALSE)</f>
        <v>0</v>
      </c>
      <c r="L13" s="34">
        <f>CHF_REPORT-CHF_REPORTFILE</f>
        <v>1</v>
      </c>
    </row>
    <row r="14" spans="1:13" x14ac:dyDescent="0.25">
      <c r="C14" s="40"/>
      <c r="D14" s="34">
        <f>SUMIFS(MsDailyTable[PREVIOUS],MsDailyTable[Currency],CHF_NAME)</f>
        <v>22</v>
      </c>
      <c r="E14" s="34">
        <f>BALANCE_CHF-PREV_CHF</f>
        <v>-6</v>
      </c>
      <c r="F14" s="34">
        <f>SUMIFS(MsDailyTable[BALANCE],MsDailyTable[Currency],CHF_NAME)</f>
        <v>16</v>
      </c>
      <c r="G14" s="11"/>
      <c r="H14" s="34">
        <f>BALANCE_CHF+G14</f>
        <v>16</v>
      </c>
      <c r="J14" s="47">
        <f>SUMIFS(MsDailyTable[Debit/Credit],MsDailyTable[Currency],AED_NAME,MsDailyTable[Report],"&lt;&gt;")</f>
        <v>0</v>
      </c>
      <c r="K14" s="47">
        <f>SUMIFS(Activity[Total],Activity[Currency],AED_NAME,Activity[Regulated],FALSE)</f>
        <v>0</v>
      </c>
      <c r="L14" s="47">
        <f>AED_REPORT-AED_REPORTFILE</f>
        <v>0</v>
      </c>
    </row>
    <row r="15" spans="1:13" x14ac:dyDescent="0.25">
      <c r="C15" s="40"/>
      <c r="D15" s="47">
        <f>SUMIFS(MsDailyTable[PREVIOUS],MsDailyTable[Currency],AED_NAME)</f>
        <v>17</v>
      </c>
      <c r="E15" s="47" cm="1">
        <f t="array" ref="E15">BALANCE_AED-PREV_AED</f>
        <v>5</v>
      </c>
      <c r="F15" s="47">
        <f>SUMIFS(MsDailyTable[BALANCE],MsDailyTable[Currency],AED_NAME)</f>
        <v>22</v>
      </c>
      <c r="G15" s="11"/>
      <c r="H15" s="47">
        <f>BALANCE_AED+G15</f>
        <v>22</v>
      </c>
    </row>
    <row r="16" spans="1:13" x14ac:dyDescent="0.25">
      <c r="C16" s="40"/>
      <c r="H16" s="19"/>
      <c r="J16" s="4" t="s">
        <v>38</v>
      </c>
      <c r="K16" s="4" t="s">
        <v>32</v>
      </c>
      <c r="L16" s="4" t="s">
        <v>45</v>
      </c>
    </row>
    <row r="17" spans="2:14" x14ac:dyDescent="0.25">
      <c r="C17" s="40"/>
      <c r="H17" s="19"/>
      <c r="J17" s="5">
        <f>USD_PMRQ+EUR_PMRQ*EUR_RATE+GBP_PMRQ*GBP_RATE+CHF_PMRQ*CHF_RATE+AED_PMRQ*AED_RATE</f>
        <v>101.05</v>
      </c>
      <c r="K17" s="5">
        <f>USD_PMRQFILE+EUR_PMRQFILE*EUR_RATE+GBP_PMRQFILE*GBP_RATE+CHF_PMRQFILE*CHF_RATE+AED_PMRQFILE*AED_RATE</f>
        <v>0</v>
      </c>
      <c r="L17" s="5">
        <f>ALL_PMRQ-ALL_PMRQFILE</f>
        <v>101.05</v>
      </c>
    </row>
    <row r="18" spans="2:14" customFormat="1" x14ac:dyDescent="0.25">
      <c r="F18" s="1"/>
      <c r="G18" s="1"/>
      <c r="H18" s="1"/>
      <c r="I18" s="1"/>
      <c r="J18" s="38" t="s">
        <v>39</v>
      </c>
      <c r="K18" s="38" t="s">
        <v>25</v>
      </c>
      <c r="L18" s="38" t="s">
        <v>46</v>
      </c>
      <c r="M18" s="1"/>
      <c r="N18" s="1"/>
    </row>
    <row r="19" spans="2:14" customFormat="1" x14ac:dyDescent="0.25">
      <c r="B19" s="1"/>
      <c r="C19" s="1"/>
      <c r="F19" s="1"/>
      <c r="G19" s="1"/>
      <c r="H19" s="1"/>
      <c r="I19" s="1"/>
      <c r="J19" s="5">
        <f>SUMIFS(MsDailyTable[Debit/Credit],MsDailyTable[Currency],USD_NAME,MsDailyTable[PMRQ],"&lt;&gt;")</f>
        <v>100</v>
      </c>
      <c r="K19" s="5">
        <f>-1*IF(DTE="",SUMIFS(PMRQ[SUM],PMRQ[Cur],USD_NAME,PMRQ[Date],DTB),SUMIFS(PMRQ[SUM],PMRQ[Cur],USD_NAME,PMRQ[Date],"&gt;="&amp;DTB,PMRQ[Date],"&lt;="&amp;DTE))</f>
        <v>0</v>
      </c>
      <c r="L19" s="5">
        <f>USD_PMRQ-USD_PMRQFILE</f>
        <v>100</v>
      </c>
      <c r="M19" s="1"/>
      <c r="N19" s="1"/>
    </row>
    <row r="20" spans="2:14" x14ac:dyDescent="0.25">
      <c r="D20" s="2"/>
      <c r="E20" s="2"/>
      <c r="J20" s="7">
        <f>SUMIFS(MsDailyTable[Debit/Credit],MsDailyTable[Currency],EUR_NAME,MsDailyTable[PMRQ],"&lt;&gt;")</f>
        <v>0</v>
      </c>
      <c r="K20" s="7">
        <f>-1*IF(DTE="",SUMIFS(PMRQ[SUM],PMRQ[Cur],EUR_NAME,PMRQ[Date],DTB),SUMIFS(PMRQ[SUM],PMRQ[Cur],EUR_NAME,PMRQ[Date],"&gt;="&amp;DTB,PMRQ[Date],"&lt;="&amp;DTE))</f>
        <v>0</v>
      </c>
      <c r="L20" s="7">
        <f>EUR_PMRQ-EUR_PMRQFILE</f>
        <v>0</v>
      </c>
    </row>
    <row r="21" spans="2:14" x14ac:dyDescent="0.25">
      <c r="D21" s="2"/>
      <c r="E21" s="2"/>
      <c r="J21" s="32">
        <f>SUMIFS(MsDailyTable[Debit/Credit],MsDailyTable[Currency],GBP_NAME,MsDailyTable[PMRQ],"&lt;&gt;")</f>
        <v>0</v>
      </c>
      <c r="K21" s="32">
        <f>-1*IF(DTE="",SUMIFS(PMRQ[SUM],PMRQ[Cur],GBP_NAME,PMRQ[Date],DTB),SUMIFS(PMRQ[SUM],PMRQ[Cur],GBP_NAME,PMRQ[Date],"&gt;="&amp;DTB,PMRQ[Date],"&lt;="&amp;DTE))</f>
        <v>0</v>
      </c>
      <c r="L21" s="32">
        <f>GBP_PMRQ-GBP_PMRQFILE</f>
        <v>0</v>
      </c>
    </row>
    <row r="22" spans="2:14" x14ac:dyDescent="0.25">
      <c r="J22" s="34">
        <f>SUMIFS(MsDailyTable[Debit/Credit],MsDailyTable[Currency],CHF_NAME,MsDailyTable[PMRQ],"&lt;&gt;")</f>
        <v>1</v>
      </c>
      <c r="K22" s="34">
        <f>-1*IF(DTE="",SUMIFS(PMRQ[SUM],PMRQ[Cur],CHF_NAME,PMRQ[Date],DTB),SUMIFS(PMRQ[SUM],PMRQ[Cur],CHF_NAME,PMRQ[Date],"&gt;="&amp;DTB,PMRQ[Date],"&lt;="&amp;DTE))</f>
        <v>0</v>
      </c>
      <c r="L22" s="34">
        <f>CHF_PMRQ-CHF_PMRQFILE</f>
        <v>1</v>
      </c>
    </row>
    <row r="23" spans="2:14" x14ac:dyDescent="0.25">
      <c r="J23" s="47">
        <f>SUMIFS(MsDailyTable[Debit/Credit],MsDailyTable[Currency],AED_NAME,MsDailyTable[PMRQ],"&lt;&gt;")</f>
        <v>0</v>
      </c>
      <c r="K23" s="47">
        <f>-1*IF(DTE="",SUMIFS(PMRQ[SUM],PMRQ[Cur],AED_NAME,PMRQ[Date],DTB),SUMIFS(PMRQ[SUM],PMRQ[Cur],AED_NAME,PMRQ[Date],"&gt;="&amp;DTB,PMRQ[Date],"&lt;="&amp;DTE))</f>
        <v>0</v>
      </c>
      <c r="L23" s="47">
        <f>AED_PMRQ-AED_PMRQFILE</f>
        <v>0</v>
      </c>
    </row>
    <row r="24" spans="2:14" customFormat="1" x14ac:dyDescent="0.25">
      <c r="K24" s="1"/>
      <c r="L24" s="1"/>
      <c r="M24" s="1"/>
    </row>
    <row r="25" spans="2:14" customFormat="1" x14ac:dyDescent="0.25">
      <c r="B25" s="4" t="s">
        <v>65</v>
      </c>
      <c r="C25" s="4" t="s">
        <v>56</v>
      </c>
      <c r="D25" s="4" t="s">
        <v>47</v>
      </c>
      <c r="E25" s="4" t="s">
        <v>48</v>
      </c>
      <c r="F25" s="4" t="s">
        <v>61</v>
      </c>
      <c r="G25" s="4" t="s">
        <v>50</v>
      </c>
      <c r="H25" s="4" t="s">
        <v>52</v>
      </c>
      <c r="I25" s="4" t="s">
        <v>54</v>
      </c>
      <c r="J25" s="4" t="s">
        <v>59</v>
      </c>
      <c r="K25" s="4" t="s">
        <v>63</v>
      </c>
      <c r="L25" s="1"/>
      <c r="M25" s="1"/>
    </row>
    <row r="26" spans="2:14" customFormat="1" x14ac:dyDescent="0.25">
      <c r="B26" s="5">
        <f>USD_OTHER+EUR_OTHER*EUR_RATE+GBP_OTHER*GBP_RATE+CHF_OTHER*CHF_RATE+AED_OTHER*AED_RATE</f>
        <v>195896.81258499998</v>
      </c>
      <c r="C26" s="5">
        <f>USD_RP+EUR_RP*EUR_RATE+GBP_RP*GBP_RATE+CHF_RP*CHF_RATE+AED_RP*AED_RATE</f>
        <v>-315799.57899999997</v>
      </c>
      <c r="D26" s="5">
        <f>USD_CHARGES+EUR_CHARGES*EUR_RATE+GBP_CHARGES*GBP_RATE+CHF_CHARGES*CHF_RATE+AED_CHARGES*AED_RATE</f>
        <v>0</v>
      </c>
      <c r="E26" s="5">
        <f>USD_LSB+EUR_LSB*EUR_RATE+GBP_LSB*GBP_RATE+CHF_LSB*CHF_RATE+AED_LSB*AED_RATE</f>
        <v>0</v>
      </c>
      <c r="F26" s="5">
        <f>USD_ADMIN+EUR_ADMIN*EUR_RATE+GBP_ADMIN*GBP_RATE+CHF_ADMIN*CHF_RATE+AED_ADMIN*AED_RATE</f>
        <v>0</v>
      </c>
      <c r="G26" s="5">
        <f>USD_FX+EUR_FX*EUR_RATE+GBP_FX*GBP_RATE+CHF_FX*CHF_RATE+AED_FX*AED_RATE</f>
        <v>0</v>
      </c>
      <c r="H26" s="5">
        <f>USD_CASH+EUR_CASH*EUR_RATE+GBP_CASH*GBP_RATE+CHF_CASH*CHF_RATE+AED_CASH*AED_RATE</f>
        <v>0</v>
      </c>
      <c r="I26" s="5">
        <f>USD_MS+EUR_MS*EUR_RATE+GBP_MS*GBP_RATE+CHF_MS*CHF_RATE+AED_MS*AED_RATE</f>
        <v>0</v>
      </c>
      <c r="J26" s="5">
        <f>USD_ICL+EUR_ICL*EUR_RATE+GBP_ICL*GBP_RATE+CHF_ICL*CHF_RATE+AED_ICL*AED_RATE</f>
        <v>0</v>
      </c>
      <c r="K26" s="5">
        <f>USD_EXTRA+EUR_EXTRA*EUR_RATE+GBP_EXTRA*GBP_RATE+CHF_EXTRA*CHF_RATE+AED_EXTRA*AED_RATE</f>
        <v>0</v>
      </c>
      <c r="L26" s="1"/>
      <c r="M26" s="1"/>
    </row>
    <row r="27" spans="2:14" customFormat="1" x14ac:dyDescent="0.25">
      <c r="B27" s="38" t="s">
        <v>66</v>
      </c>
      <c r="C27" s="38" t="s">
        <v>57</v>
      </c>
      <c r="D27" s="38" t="s">
        <v>22</v>
      </c>
      <c r="E27" s="38" t="s">
        <v>49</v>
      </c>
      <c r="F27" s="38" t="s">
        <v>62</v>
      </c>
      <c r="G27" s="38" t="s">
        <v>51</v>
      </c>
      <c r="H27" s="38" t="s">
        <v>53</v>
      </c>
      <c r="I27" s="38" t="s">
        <v>55</v>
      </c>
      <c r="J27" s="38" t="s">
        <v>60</v>
      </c>
      <c r="K27" s="38" t="s">
        <v>64</v>
      </c>
      <c r="L27" s="1"/>
      <c r="M27" s="1"/>
    </row>
    <row r="28" spans="2:14" customFormat="1" x14ac:dyDescent="0.25">
      <c r="B28" s="5">
        <f>SUMIFS(MsDailyTable[Debit/Credit],MsDailyTable[Currency],USD_NAME,MsDailyTable[Report],"=",MsDailyTable[PMRQ],"=",MsDailyTable[TrType],"=")</f>
        <v>0</v>
      </c>
      <c r="C28" s="5">
        <f>SUMIFS(MsDailyTable[Debit/Credit],MsDailyTable[Currency],USD_NAME,MsDailyTable[Report],"=",MsDailyTable[PMRQ],"&lt;&gt;")+SUMIFS(MsDailyTable[Debit/Credit],MsDailyTable[Currency],USD_NAME,MsDailyTable[Report],"&lt;&gt;",MsDailyTable[PMRQ],"=")+SUMIFS(MsDailyTable[Debit/Credit],MsDailyTable[Currency],USD_NAME,MsDailyTable[Report],"&lt;&gt;",MsDailyTable[PMRQ],"&lt;&gt;")</f>
        <v>100</v>
      </c>
      <c r="D28" s="5">
        <f>SUMIFS(MsDailyTable[Charges],MsDailyTable[Currency],USD_NAME)</f>
        <v>0</v>
      </c>
      <c r="E28" s="5">
        <f>SUMIFS(MsDailyTable[Debit/Credit],MsDailyTable[Currency],USD_NAME,MsDailyTable[Report],"=",MsDailyTable[PMRQ],"=",MsDailyTable[TrType],"LSB")</f>
        <v>0</v>
      </c>
      <c r="F28" s="5">
        <f>SUMIFS(MsDailyTable[Debit/Credit],MsDailyTable[Currency],USD_NAME,MsDailyTable[Report],"=",MsDailyTable[PMRQ],"=",MsDailyTable[TrType],"Intercompany")</f>
        <v>0</v>
      </c>
      <c r="G28" s="5">
        <f>SUMIFS(MsDailyTable[Debit/Credit],MsDailyTable[Currency],USD_NAME,MsDailyTable[Report],"=",MsDailyTable[PMRQ],"=",MsDailyTable[TrType],"FX")</f>
        <v>0</v>
      </c>
      <c r="H28" s="5">
        <f>SUMIFS(MsDailyTable[Debit/Credit],MsDailyTable[Currency],USD_NAME,MsDailyTable[Report],"=",MsDailyTable[PMRQ],"=",MsDailyTable[TrType],"Cash")</f>
        <v>0</v>
      </c>
      <c r="I28" s="5">
        <f>SUMIFS(MsDailyTable[Debit/Credit],MsDailyTable[Currency],USD_NAME,MsDailyTable[Report],"=",MsDailyTable[PMRQ],"=",MsDailyTable[TrType],"MS")</f>
        <v>0</v>
      </c>
      <c r="J28" s="5">
        <f>SUMIFS(MsDailyTable[Debit/Credit],MsDailyTable[Currency],USD_NAME,MsDailyTable[Report],"=",MsDailyTable[PMRQ],"=",MsDailyTable[TrType],"ICL refund")</f>
        <v>0</v>
      </c>
      <c r="K28" s="5">
        <f>SUMIFS(MsDailyTable[Debit/Credit],MsDailyTable[Currency],USD_NAME,MsDailyTable[Report],"=",MsDailyTable[PMRQ],"=",MsDailyTable[TrType],"Admin Extra")</f>
        <v>0</v>
      </c>
      <c r="L28" s="1"/>
      <c r="M28" s="1"/>
    </row>
    <row r="29" spans="2:14" customFormat="1" x14ac:dyDescent="0.25">
      <c r="B29" s="7">
        <f>SUMIFS(MsDailyTable[Debit/Credit],MsDailyTable[Currency],EUR_NAME,MsDailyTable[Report],"=",MsDailyTable[PMRQ],"=",MsDailyTable[TrType],"=")</f>
        <v>161796.53</v>
      </c>
      <c r="C29" s="7">
        <f>SUMIFS(MsDailyTable[Debit/Credit],MsDailyTable[Currency],EUR_NAME,MsDailyTable[Report],"=",MsDailyTable[PMRQ],"&lt;&gt;")+SUMIFS(MsDailyTable[Debit/Credit],MsDailyTable[Currency],EUR_NAME,MsDailyTable[Report],"&lt;&gt;",MsDailyTable[PMRQ],"=")+SUMIFS(MsDailyTable[Debit/Credit],MsDailyTable[Currency],EUR_NAME,MsDailyTable[Report],"&lt;&gt;",MsDailyTable[PMRQ],"&lt;&gt;")</f>
        <v>-261074.9</v>
      </c>
      <c r="D29" s="7">
        <f>SUMIFS(MsDailyTable[Charges],MsDailyTable[Currency],EUR_NAME)</f>
        <v>0</v>
      </c>
      <c r="E29" s="7">
        <f>SUMIFS(MsDailyTable[Debit/Credit],MsDailyTable[Currency],EUR_NAME,MsDailyTable[Report],"=",MsDailyTable[PMRQ],"=",MsDailyTable[TrType],"LSB")</f>
        <v>0</v>
      </c>
      <c r="F29" s="7">
        <f>SUMIFS(MsDailyTable[Debit/Credit],MsDailyTable[Currency],EUR_NAME,MsDailyTable[Report],"=",MsDailyTable[PMRQ],"=",MsDailyTable[TrType],"Intercompany")</f>
        <v>0</v>
      </c>
      <c r="G29" s="7">
        <f>SUMIFS(MsDailyTable[Debit/Credit],MsDailyTable[Currency],EUR_NAME,MsDailyTable[Report],"=",MsDailyTable[PMRQ],"=",MsDailyTable[TrType],"FX")</f>
        <v>0</v>
      </c>
      <c r="H29" s="7">
        <f>SUMIFS(MsDailyTable[Debit/Credit],MsDailyTable[Currency],EUR_NAME,MsDailyTable[Report],"=",MsDailyTable[PMRQ],"=",MsDailyTable[TrType],"Cash")</f>
        <v>0</v>
      </c>
      <c r="I29" s="7">
        <f>SUMIFS(MsDailyTable[Debit/Credit],MsDailyTable[Currency],EUR_NAME,MsDailyTable[Report],"=",MsDailyTable[PMRQ],"=",MsDailyTable[TrType],"MS")</f>
        <v>0</v>
      </c>
      <c r="J29" s="7">
        <f>SUMIFS(MsDailyTable[Debit/Credit],MsDailyTable[Currency],EUR_NAME,MsDailyTable[Report],"=",MsDailyTable[PMRQ],"=",MsDailyTable[TrType],"ICL refund")</f>
        <v>0</v>
      </c>
      <c r="K29" s="7">
        <f>SUMIFS(MsDailyTable[Debit/Credit],MsDailyTable[Currency],EUR_NAME,MsDailyTable[Report],"=",MsDailyTable[PMRQ],"=",MsDailyTable[TrType],"Admin Extra")</f>
        <v>0</v>
      </c>
      <c r="L29" s="1"/>
      <c r="M29" s="1"/>
    </row>
    <row r="30" spans="2:14" customFormat="1" x14ac:dyDescent="0.25">
      <c r="B30" s="32">
        <f>SUMIFS(MsDailyTable[Debit/Credit],MsDailyTable[Currency],GBP_NAME,MsDailyTable[Report],"=",MsDailyTable[PMRQ],"=",MsDailyTable[TrType],"=")</f>
        <v>100</v>
      </c>
      <c r="C30" s="32">
        <f>SUMIFS(MsDailyTable[Debit/Credit],MsDailyTable[Currency],GBP_NAME,MsDailyTable[Report],"=",MsDailyTable[PMRQ],"&lt;&gt;")+SUMIFS(MsDailyTable[Debit/Credit],MsDailyTable[Currency],GBP_NAME,MsDailyTable[Report],"&lt;&gt;",MsDailyTable[PMRQ],"=")+SUMIFS(MsDailyTable[Debit/Credit],MsDailyTable[Currency],GBP_NAME,MsDailyTable[Report],"&lt;&gt;",MsDailyTable[PMRQ],"&lt;&gt;")</f>
        <v>0</v>
      </c>
      <c r="D30" s="32">
        <f>SUMIFS(MsDailyTable[Charges],MsDailyTable[Currency],GBP_NAME)</f>
        <v>0</v>
      </c>
      <c r="E30" s="32">
        <f>SUMIFS(MsDailyTable[Debit/Credit],MsDailyTable[Currency],GBP_NAME,MsDailyTable[Report],"=",MsDailyTable[PMRQ],"=",MsDailyTable[TrType],"LSB")</f>
        <v>0</v>
      </c>
      <c r="F30" s="32">
        <f>SUMIFS(MsDailyTable[Debit/Credit],MsDailyTable[Currency],GBP_NAME,MsDailyTable[Report],"=",MsDailyTable[PMRQ],"=",MsDailyTable[TrType],"Intercompany")</f>
        <v>0</v>
      </c>
      <c r="G30" s="32">
        <f>SUMIFS(MsDailyTable[Debit/Credit],MsDailyTable[Currency],GBP_NAME,MsDailyTable[Report],"=",MsDailyTable[PMRQ],"=",MsDailyTable[TrType],"FX")</f>
        <v>0</v>
      </c>
      <c r="H30" s="32">
        <f>SUMIFS(MsDailyTable[Debit/Credit],MsDailyTable[Currency],GBP_NAME,MsDailyTable[Report],"=",MsDailyTable[PMRQ],"=",MsDailyTable[TrType],"Cash")</f>
        <v>0</v>
      </c>
      <c r="I30" s="32">
        <f>SUMIFS(MsDailyTable[Debit/Credit],MsDailyTable[Currency],GBP_NAME,MsDailyTable[Report],"=",MsDailyTable[PMRQ],"=",MsDailyTable[TrType],"MS")</f>
        <v>0</v>
      </c>
      <c r="J30" s="32">
        <f>SUMIFS(MsDailyTable[Debit/Credit],MsDailyTable[Currency],GBP_NAME,MsDailyTable[Report],"=",MsDailyTable[PMRQ],"=",MsDailyTable[TrType],"ICL refund")</f>
        <v>0</v>
      </c>
      <c r="K30" s="32">
        <f>SUMIFS(MsDailyTable[Debit/Credit],MsDailyTable[Currency],GBP_NAME,MsDailyTable[Report],"=",MsDailyTable[PMRQ],"=",MsDailyTable[TrType],"Admin Extra")</f>
        <v>0</v>
      </c>
      <c r="L30" s="1"/>
      <c r="M30" s="1"/>
    </row>
    <row r="31" spans="2:14" customFormat="1" x14ac:dyDescent="0.25">
      <c r="B31" s="34">
        <f>SUMIFS(MsDailyTable[Debit/Credit],MsDailyTable[Currency],CHF_NAME,MsDailyTable[Report],"=",MsDailyTable[PMRQ],"=",MsDailyTable[TrType],"=")</f>
        <v>-7</v>
      </c>
      <c r="C31" s="34">
        <f>SUMIFS(MsDailyTable[Debit/Credit],MsDailyTable[Currency],CHF_NAME,MsDailyTable[Report],"=",MsDailyTable[PMRQ],"&lt;&gt;")+SUMIFS(MsDailyTable[Debit/Credit],MsDailyTable[Currency],CHF_NAME,MsDailyTable[Report],"&lt;&gt;",MsDailyTable[PMRQ],"=")+SUMIFS(MsDailyTable[Debit/Credit],MsDailyTable[Currency],CHF_NAME,MsDailyTable[Report],"&lt;&gt;",MsDailyTable[PMRQ],"&lt;&gt;")</f>
        <v>1</v>
      </c>
      <c r="D31" s="34">
        <f>SUMIFS(MsDailyTable[Charges],MsDailyTable[Currency],CHF_NAME)</f>
        <v>0</v>
      </c>
      <c r="E31" s="34">
        <f>SUMIFS(MsDailyTable[Debit/Credit],MsDailyTable[Currency],CHF_NAME,MsDailyTable[Report],"=",MsDailyTable[PMRQ],"=",MsDailyTable[TrType],"LSB")</f>
        <v>0</v>
      </c>
      <c r="F31" s="34">
        <f>SUMIFS(MsDailyTable[Debit/Credit],MsDailyTable[Currency],CHF_NAME,MsDailyTable[Report],"=",MsDailyTable[PMRQ],"=",MsDailyTable[TrType],"Intercompany")</f>
        <v>0</v>
      </c>
      <c r="G31" s="34">
        <f>SUMIFS(MsDailyTable[Debit/Credit],MsDailyTable[Currency],CHF_NAME,MsDailyTable[Report],"=",MsDailyTable[PMRQ],"=",MsDailyTable[TrType],"FX")</f>
        <v>0</v>
      </c>
      <c r="H31" s="34">
        <f>SUMIFS(MsDailyTable[Debit/Credit],MsDailyTable[Currency],CHF_NAME,MsDailyTable[Report],"=",MsDailyTable[PMRQ],"=",MsDailyTable[TrType],"Cash")</f>
        <v>0</v>
      </c>
      <c r="I31" s="34">
        <f>SUMIFS(MsDailyTable[Debit/Credit],MsDailyTable[Currency],CHF_NAME,MsDailyTable[Report],"=",MsDailyTable[PMRQ],"=",MsDailyTable[TrType],"MS")</f>
        <v>0</v>
      </c>
      <c r="J31" s="34">
        <f>SUMIFS(MsDailyTable[Debit/Credit],MsDailyTable[Currency],CHF_NAME,MsDailyTable[Report],"=",MsDailyTable[PMRQ],"=",MsDailyTable[TrType],"ICL refund")</f>
        <v>0</v>
      </c>
      <c r="K31" s="34">
        <f>SUMIFS(MsDailyTable[Debit/Credit],MsDailyTable[Currency],CHF_NAME,MsDailyTable[Report],"=",MsDailyTable[PMRQ],"=",MsDailyTable[TrType],"Admin Extra")</f>
        <v>0</v>
      </c>
      <c r="L31" s="1"/>
      <c r="M31" s="1"/>
    </row>
    <row r="32" spans="2:14" customFormat="1" x14ac:dyDescent="0.25">
      <c r="B32" s="47">
        <f>SUMIFS(MsDailyTable[Debit/Credit],MsDailyTable[Currency],AED_NAME,MsDailyTable[Report],"=",MsDailyTable[PMRQ],"=",MsDailyTable[TrType],"=")</f>
        <v>5</v>
      </c>
      <c r="C32" s="47">
        <f>SUMIFS(MsDailyTable[Debit/Credit],MsDailyTable[Currency],AED_NAME,MsDailyTable[Report],"=",MsDailyTable[PMRQ],"&lt;&gt;")+SUMIFS(MsDailyTable[Debit/Credit],MsDailyTable[Currency],AED_NAME,MsDailyTable[Report],"&lt;&gt;",MsDailyTable[PMRQ],"=")+SUMIFS(MsDailyTable[Debit/Credit],MsDailyTable[Currency],AED_NAME,MsDailyTable[Report],"&lt;&gt;",MsDailyTable[PMRQ],"&lt;&gt;")</f>
        <v>0</v>
      </c>
      <c r="D32" s="47">
        <f>SUMIFS(MsDailyTable[Charges],MsDailyTable[Currency],AED_NAME)</f>
        <v>0</v>
      </c>
      <c r="E32" s="47">
        <f>SUMIFS(MsDailyTable[Debit/Credit],MsDailyTable[Currency],AED_NAME,MsDailyTable[Report],"=",MsDailyTable[PMRQ],"=",MsDailyTable[TrType],"LSB")</f>
        <v>0</v>
      </c>
      <c r="F32" s="47">
        <f>SUMIFS(MsDailyTable[Debit/Credit],MsDailyTable[Currency],AED_NAME,MsDailyTable[Report],"=",MsDailyTable[PMRQ],"=",MsDailyTable[TrType],"Intercompany")</f>
        <v>0</v>
      </c>
      <c r="G32" s="47">
        <f>SUMIFS(MsDailyTable[Debit/Credit],MsDailyTable[Currency],AED_NAME,MsDailyTable[Report],"=",MsDailyTable[PMRQ],"=",MsDailyTable[TrType],"FX")</f>
        <v>0</v>
      </c>
      <c r="H32" s="47">
        <f>SUMIFS(MsDailyTable[Debit/Credit],MsDailyTable[Currency],AED_NAME,MsDailyTable[Report],"=",MsDailyTable[PMRQ],"=",MsDailyTable[TrType],"Cash")</f>
        <v>0</v>
      </c>
      <c r="I32" s="47">
        <f>SUMIFS(MsDailyTable[Debit/Credit],MsDailyTable[Currency],AED_NAME,MsDailyTable[Report],"=",MsDailyTable[PMRQ],"=",MsDailyTable[TrType],"MS")</f>
        <v>0</v>
      </c>
      <c r="J32" s="47">
        <f>SUMIFS(MsDailyTable[Debit/Credit],MsDailyTable[Currency],AED_NAME,MsDailyTable[Report],"=",MsDailyTable[PMRQ],"=",MsDailyTable[TrType],"ICL refund")</f>
        <v>0</v>
      </c>
      <c r="K32" s="47">
        <f>SUMIFS(MsDailyTable[Debit/Credit],MsDailyTable[Currency],AED_NAME,MsDailyTable[Report],"=",MsDailyTable[PMRQ],"=",MsDailyTable[TrType],"Admin Extra")</f>
        <v>0</v>
      </c>
      <c r="L32" s="1"/>
      <c r="M32" s="1"/>
    </row>
    <row r="33" spans="2:13" customFormat="1" x14ac:dyDescent="0.25">
      <c r="B33" s="1"/>
      <c r="C33" s="1"/>
      <c r="D33" s="1"/>
      <c r="F33" s="1"/>
      <c r="G33" s="1"/>
      <c r="H33" s="1"/>
      <c r="J33" s="1"/>
    </row>
    <row r="35" spans="2:13" ht="23.25" customHeight="1" x14ac:dyDescent="0.25">
      <c r="B35" s="16" t="s">
        <v>8</v>
      </c>
      <c r="C35" s="17" t="s">
        <v>17</v>
      </c>
      <c r="D35" s="17" t="s">
        <v>0</v>
      </c>
      <c r="E35" s="17" t="s">
        <v>6</v>
      </c>
      <c r="F35" s="17" t="s">
        <v>5</v>
      </c>
      <c r="G35" s="17" t="s">
        <v>23</v>
      </c>
      <c r="H35" s="17" t="s">
        <v>22</v>
      </c>
      <c r="I35" s="16" t="s">
        <v>16</v>
      </c>
      <c r="J35" s="16" t="s">
        <v>10</v>
      </c>
      <c r="K35" s="28" t="s">
        <v>24</v>
      </c>
      <c r="L35" s="28" t="s">
        <v>25</v>
      </c>
      <c r="M35" s="28" t="s">
        <v>41</v>
      </c>
    </row>
    <row r="36" spans="2:13" ht="18.75" x14ac:dyDescent="0.3">
      <c r="B36" s="15">
        <v>0</v>
      </c>
      <c r="C36" s="12" t="s">
        <v>13</v>
      </c>
      <c r="D36" s="18" t="s">
        <v>2</v>
      </c>
      <c r="E36" s="13"/>
      <c r="F36" s="30"/>
      <c r="G36" s="14">
        <v>-261074.9</v>
      </c>
      <c r="H36" s="14"/>
      <c r="I36" s="15">
        <v>-427044.12</v>
      </c>
      <c r="J36" s="29">
        <v>-427044.12</v>
      </c>
      <c r="K36" s="31" t="s">
        <v>26</v>
      </c>
      <c r="L36" s="18"/>
      <c r="M36" s="42"/>
    </row>
    <row r="37" spans="2:13" ht="18.75" x14ac:dyDescent="0.3">
      <c r="B37" s="15">
        <v>0</v>
      </c>
      <c r="C37" s="12" t="s">
        <v>13</v>
      </c>
      <c r="D37" s="18" t="s">
        <v>4</v>
      </c>
      <c r="E37" s="13"/>
      <c r="F37" s="30"/>
      <c r="G37" s="14">
        <v>200</v>
      </c>
      <c r="H37" s="14"/>
      <c r="I37" s="15">
        <v>200</v>
      </c>
      <c r="J37" s="29">
        <v>200</v>
      </c>
      <c r="K37" s="31"/>
      <c r="L37" s="18"/>
      <c r="M37" s="41"/>
    </row>
    <row r="38" spans="2:13" ht="18.75" x14ac:dyDescent="0.3">
      <c r="B38" s="15">
        <v>0</v>
      </c>
      <c r="C38" s="12" t="s">
        <v>13</v>
      </c>
      <c r="D38" s="18" t="s">
        <v>1</v>
      </c>
      <c r="E38" s="13"/>
      <c r="F38" s="30"/>
      <c r="G38" s="14">
        <v>1</v>
      </c>
      <c r="H38" s="14"/>
      <c r="I38" s="15">
        <v>0</v>
      </c>
      <c r="J38" s="29">
        <v>1</v>
      </c>
      <c r="K38" s="31" t="s">
        <v>27</v>
      </c>
      <c r="L38" s="31">
        <v>88</v>
      </c>
      <c r="M38" s="41"/>
    </row>
    <row r="39" spans="2:13" ht="18.75" x14ac:dyDescent="0.3">
      <c r="B39" s="15"/>
      <c r="C39" s="12"/>
      <c r="D39" s="18"/>
      <c r="E39" s="13"/>
      <c r="F39" s="30"/>
      <c r="G39" s="14"/>
      <c r="H39" s="14"/>
      <c r="I39" s="15"/>
      <c r="J39" s="29"/>
      <c r="K39" s="18"/>
      <c r="L39" s="18"/>
      <c r="M39" s="41"/>
    </row>
    <row r="40" spans="2:13" ht="18.75" x14ac:dyDescent="0.3">
      <c r="B40" s="15">
        <v>149912.43</v>
      </c>
      <c r="C40" s="12" t="s">
        <v>14</v>
      </c>
      <c r="D40" s="18" t="s">
        <v>4</v>
      </c>
      <c r="E40" s="13"/>
      <c r="F40" s="30"/>
      <c r="G40" s="14">
        <v>-100</v>
      </c>
      <c r="H40" s="14"/>
      <c r="I40" s="15">
        <v>-100</v>
      </c>
      <c r="J40" s="29">
        <v>149812.43</v>
      </c>
      <c r="K40" s="18"/>
      <c r="L40" s="18"/>
      <c r="M40" s="41"/>
    </row>
    <row r="41" spans="2:13" ht="18.75" x14ac:dyDescent="0.3">
      <c r="B41" s="15"/>
      <c r="C41" s="12"/>
      <c r="D41" s="18"/>
      <c r="E41" s="13"/>
      <c r="F41" s="30"/>
      <c r="G41" s="14"/>
      <c r="H41" s="14"/>
      <c r="I41" s="15"/>
      <c r="J41" s="29"/>
      <c r="K41" s="18"/>
      <c r="L41" s="18"/>
      <c r="M41" s="41"/>
    </row>
    <row r="42" spans="2:13" ht="18.75" x14ac:dyDescent="0.3">
      <c r="B42" s="15">
        <v>51352.54</v>
      </c>
      <c r="C42" s="12" t="s">
        <v>15</v>
      </c>
      <c r="D42" s="18" t="s">
        <v>3</v>
      </c>
      <c r="E42" s="13"/>
      <c r="F42" s="30" t="s">
        <v>7</v>
      </c>
      <c r="G42" s="14">
        <v>100</v>
      </c>
      <c r="H42" s="14"/>
      <c r="I42" s="15">
        <v>-49407.49</v>
      </c>
      <c r="J42" s="29">
        <v>1945.05</v>
      </c>
      <c r="K42" s="31"/>
      <c r="L42" s="18">
        <v>55</v>
      </c>
      <c r="M42" s="41"/>
    </row>
    <row r="43" spans="2:13" ht="18.75" x14ac:dyDescent="0.3">
      <c r="B43" s="15">
        <v>2602.88</v>
      </c>
      <c r="C43" s="12" t="s">
        <v>15</v>
      </c>
      <c r="D43" s="18" t="s">
        <v>2</v>
      </c>
      <c r="E43" s="13"/>
      <c r="F43" s="30" t="s">
        <v>7</v>
      </c>
      <c r="G43" s="14">
        <v>161796.53</v>
      </c>
      <c r="H43" s="14"/>
      <c r="I43" s="15">
        <v>-391.47</v>
      </c>
      <c r="J43" s="29">
        <v>2211.41</v>
      </c>
      <c r="K43" s="18"/>
      <c r="L43" s="18"/>
      <c r="M43" s="41"/>
    </row>
    <row r="44" spans="2:13" ht="18.75" x14ac:dyDescent="0.3">
      <c r="B44" s="15">
        <v>17</v>
      </c>
      <c r="C44" s="12" t="s">
        <v>15</v>
      </c>
      <c r="D44" s="18" t="s">
        <v>37</v>
      </c>
      <c r="E44" s="13"/>
      <c r="F44" s="30"/>
      <c r="G44" s="14">
        <v>5</v>
      </c>
      <c r="H44" s="14"/>
      <c r="I44" s="15">
        <v>5</v>
      </c>
      <c r="J44" s="29">
        <v>22</v>
      </c>
      <c r="K44" s="18"/>
      <c r="L44" s="18"/>
      <c r="M44" s="30"/>
    </row>
    <row r="45" spans="2:13" ht="18.75" x14ac:dyDescent="0.3">
      <c r="B45" s="15">
        <v>22</v>
      </c>
      <c r="C45" s="12" t="s">
        <v>15</v>
      </c>
      <c r="D45" s="18" t="s">
        <v>1</v>
      </c>
      <c r="E45" s="13"/>
      <c r="F45" s="30" t="s">
        <v>7</v>
      </c>
      <c r="G45" s="14">
        <v>-7</v>
      </c>
      <c r="H45" s="14"/>
      <c r="I45" s="15">
        <v>-7</v>
      </c>
      <c r="J45" s="29">
        <v>15</v>
      </c>
      <c r="K45" s="18"/>
      <c r="L45" s="18"/>
      <c r="M45" s="30"/>
    </row>
  </sheetData>
  <conditionalFormatting sqref="B36:M45">
    <cfRule type="expression" dxfId="10" priority="1">
      <formula>$D36="AED"</formula>
    </cfRule>
    <cfRule type="expression" dxfId="9" priority="7">
      <formula>$D36=""</formula>
    </cfRule>
    <cfRule type="expression" dxfId="8" priority="8">
      <formula>$D36="CHF"</formula>
    </cfRule>
    <cfRule type="expression" dxfId="7" priority="9">
      <formula>$D36="GBP"</formula>
    </cfRule>
    <cfRule type="expression" dxfId="6" priority="10">
      <formula>$D36="EUR"</formula>
    </cfRule>
    <cfRule type="expression" dxfId="5" priority="11">
      <formula>$D36="USD"</formula>
    </cfRule>
  </conditionalFormatting>
  <conditionalFormatting sqref="C3">
    <cfRule type="expression" dxfId="4" priority="17">
      <formula>$C3=""</formula>
    </cfRule>
    <cfRule type="expression" dxfId="3" priority="18">
      <formula>$C3="CHF"</formula>
    </cfRule>
    <cfRule type="expression" dxfId="2" priority="19">
      <formula>$C3="GBP"</formula>
    </cfRule>
    <cfRule type="expression" dxfId="1" priority="20">
      <formula>$C3="EUR"</formula>
    </cfRule>
    <cfRule type="expression" dxfId="0" priority="21">
      <formula>$C3="USD"</formula>
    </cfRule>
  </conditionalFormatting>
  <pageMargins left="0.25" right="0.25" top="0.75" bottom="0.75" header="0.3" footer="0.3"/>
  <pageSetup paperSize="9" scale="55" fitToHeight="0" orientation="landscape" horizontalDpi="1200" verticalDpi="1200" r:id="rId1"/>
  <ignoredErrors>
    <ignoredError sqref="J28:J31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dReport">
                <anchor moveWithCells="1">
                  <from>
                    <xdr:col>1</xdr:col>
                    <xdr:colOff>171450</xdr:colOff>
                    <xdr:row>1</xdr:row>
                    <xdr:rowOff>19050</xdr:rowOff>
                  </from>
                  <to>
                    <xdr:col>1</xdr:col>
                    <xdr:colOff>952500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LoadPmrq">
                <anchor moveWithCells="1">
                  <from>
                    <xdr:col>2</xdr:col>
                    <xdr:colOff>171450</xdr:colOff>
                    <xdr:row>1</xdr:row>
                    <xdr:rowOff>19050</xdr:rowOff>
                  </from>
                  <to>
                    <xdr:col>2</xdr:col>
                    <xdr:colOff>952500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M3"/>
  <sheetViews>
    <sheetView workbookViewId="0">
      <selection activeCell="I8" sqref="I8"/>
    </sheetView>
  </sheetViews>
  <sheetFormatPr defaultRowHeight="15" x14ac:dyDescent="0.25"/>
  <cols>
    <col min="2" max="2" width="13.42578125" customWidth="1"/>
    <col min="3" max="3" width="9.85546875" bestFit="1" customWidth="1"/>
    <col min="4" max="4" width="13.42578125" bestFit="1" customWidth="1"/>
    <col min="5" max="5" width="10.140625" bestFit="1" customWidth="1"/>
    <col min="6" max="6" width="14.5703125" bestFit="1" customWidth="1"/>
    <col min="12" max="12" width="14.85546875" customWidth="1"/>
  </cols>
  <sheetData>
    <row r="2" spans="2:13" x14ac:dyDescent="0.25">
      <c r="B2" s="35" t="s">
        <v>28</v>
      </c>
      <c r="C2" s="35" t="s">
        <v>17</v>
      </c>
      <c r="D2" s="35" t="s">
        <v>0</v>
      </c>
      <c r="E2" s="35" t="s">
        <v>29</v>
      </c>
      <c r="F2" s="35" t="s">
        <v>30</v>
      </c>
      <c r="G2" s="35" t="s">
        <v>69</v>
      </c>
      <c r="H2" s="35" t="s">
        <v>70</v>
      </c>
      <c r="I2" s="35" t="s">
        <v>71</v>
      </c>
      <c r="J2" s="35" t="s">
        <v>40</v>
      </c>
      <c r="K2" s="43" t="s">
        <v>67</v>
      </c>
      <c r="L2" s="43" t="s">
        <v>68</v>
      </c>
      <c r="M2" s="43" t="s">
        <v>72</v>
      </c>
    </row>
    <row r="3" spans="2:13" x14ac:dyDescent="0.25">
      <c r="B3" s="36"/>
      <c r="E3" s="37"/>
      <c r="I3" s="44"/>
      <c r="L3" s="44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M3"/>
  <sheetViews>
    <sheetView workbookViewId="0">
      <selection activeCell="L8" sqref="L8"/>
    </sheetView>
  </sheetViews>
  <sheetFormatPr defaultRowHeight="15" x14ac:dyDescent="0.25"/>
  <cols>
    <col min="3" max="3" width="12.140625" customWidth="1"/>
    <col min="5" max="5" width="10.28515625" customWidth="1"/>
    <col min="7" max="7" width="16" customWidth="1"/>
    <col min="8" max="8" width="46.5703125" customWidth="1"/>
    <col min="9" max="9" width="63.28515625" customWidth="1"/>
    <col min="10" max="10" width="12.85546875" customWidth="1"/>
    <col min="11" max="11" width="9.140625" customWidth="1"/>
    <col min="12" max="12" width="11.5703125" bestFit="1" customWidth="1"/>
    <col min="13" max="13" width="12.85546875" bestFit="1" customWidth="1"/>
  </cols>
  <sheetData>
    <row r="2" spans="2:13" x14ac:dyDescent="0.25">
      <c r="B2" t="s">
        <v>58</v>
      </c>
      <c r="C2" t="s">
        <v>28</v>
      </c>
      <c r="D2" t="s">
        <v>17</v>
      </c>
      <c r="E2" t="s">
        <v>33</v>
      </c>
      <c r="F2" t="s">
        <v>34</v>
      </c>
      <c r="G2" t="s">
        <v>35</v>
      </c>
      <c r="H2" t="s">
        <v>36</v>
      </c>
      <c r="I2" t="s">
        <v>5</v>
      </c>
      <c r="J2" t="s">
        <v>42</v>
      </c>
      <c r="K2" t="s">
        <v>40</v>
      </c>
      <c r="L2" t="s">
        <v>67</v>
      </c>
      <c r="M2" t="s">
        <v>68</v>
      </c>
    </row>
    <row r="3" spans="2:13" x14ac:dyDescent="0.25">
      <c r="C3" s="36"/>
      <c r="G3" s="37"/>
      <c r="M3" s="37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135</vt:i4>
      </vt:variant>
    </vt:vector>
  </HeadingPairs>
  <TitlesOfParts>
    <vt:vector size="138" baseType="lpstr">
      <vt:lpstr>MS_Daily</vt:lpstr>
      <vt:lpstr>Activity</vt:lpstr>
      <vt:lpstr>PMRQ</vt:lpstr>
      <vt:lpstr>ACTIVITY_AED</vt:lpstr>
      <vt:lpstr>ACTIVITY_AED_USD</vt:lpstr>
      <vt:lpstr>ACTIVITY_CHF</vt:lpstr>
      <vt:lpstr>ACTIVITY_CHF_USD</vt:lpstr>
      <vt:lpstr>ACTIVITY_EUR</vt:lpstr>
      <vt:lpstr>ACTIVITY_EUR_USD</vt:lpstr>
      <vt:lpstr>ACTIVITY_GBP</vt:lpstr>
      <vt:lpstr>ACTIVITY_GBP_USD</vt:lpstr>
      <vt:lpstr>ACTIVITY_USD</vt:lpstr>
      <vt:lpstr>ACTIVITY_USD_USD</vt:lpstr>
      <vt:lpstr>AED_ADMIN</vt:lpstr>
      <vt:lpstr>AED_CASH</vt:lpstr>
      <vt:lpstr>AED_CHARGES</vt:lpstr>
      <vt:lpstr>AED_DELTA_PMRQ</vt:lpstr>
      <vt:lpstr>AED_DELTA_REPORT</vt:lpstr>
      <vt:lpstr>AED_EXTRA</vt:lpstr>
      <vt:lpstr>AED_FX</vt:lpstr>
      <vt:lpstr>AED_ICL</vt:lpstr>
      <vt:lpstr>AED_LSB</vt:lpstr>
      <vt:lpstr>AED_MS</vt:lpstr>
      <vt:lpstr>AED_NAME</vt:lpstr>
      <vt:lpstr>AED_OTHER</vt:lpstr>
      <vt:lpstr>AED_PMRQ</vt:lpstr>
      <vt:lpstr>AED_PMRQFILE</vt:lpstr>
      <vt:lpstr>AED_RATE</vt:lpstr>
      <vt:lpstr>AED_RATE_P</vt:lpstr>
      <vt:lpstr>AED_REPORT</vt:lpstr>
      <vt:lpstr>AED_REPORTFILE</vt:lpstr>
      <vt:lpstr>AED_RP</vt:lpstr>
      <vt:lpstr>ALL_PMRQ</vt:lpstr>
      <vt:lpstr>ALL_PMRQFILE</vt:lpstr>
      <vt:lpstr>ALL_REPORT</vt:lpstr>
      <vt:lpstr>ALL_REPORTFILE</vt:lpstr>
      <vt:lpstr>BALANCE_AED</vt:lpstr>
      <vt:lpstr>BALANCE_AED_USD</vt:lpstr>
      <vt:lpstr>BALANCE_CHF</vt:lpstr>
      <vt:lpstr>BALANCE_CHF_USD</vt:lpstr>
      <vt:lpstr>BALANCE_EUR</vt:lpstr>
      <vt:lpstr>BALANCE_EUR_USD</vt:lpstr>
      <vt:lpstr>BALANCE_GBP</vt:lpstr>
      <vt:lpstr>BALANCE_GBP_USD</vt:lpstr>
      <vt:lpstr>BALANCE_USD</vt:lpstr>
      <vt:lpstr>BALANCE_USD_USD</vt:lpstr>
      <vt:lpstr>CHF_ADMIN</vt:lpstr>
      <vt:lpstr>CHF_CASH</vt:lpstr>
      <vt:lpstr>CHF_CHARGES</vt:lpstr>
      <vt:lpstr>CHF_DELTA_PMRQ</vt:lpstr>
      <vt:lpstr>CHF_DELTA_REPORT</vt:lpstr>
      <vt:lpstr>CHF_EXTRA</vt:lpstr>
      <vt:lpstr>CHF_FX</vt:lpstr>
      <vt:lpstr>CHF_ICL</vt:lpstr>
      <vt:lpstr>CHF_LSB</vt:lpstr>
      <vt:lpstr>CHF_MS</vt:lpstr>
      <vt:lpstr>CHF_NAME</vt:lpstr>
      <vt:lpstr>CHF_OTHER</vt:lpstr>
      <vt:lpstr>CHF_PMRQ</vt:lpstr>
      <vt:lpstr>CHF_PMRQFILE</vt:lpstr>
      <vt:lpstr>CHF_RATE</vt:lpstr>
      <vt:lpstr>CHF_RATE_P</vt:lpstr>
      <vt:lpstr>CHF_REPORT</vt:lpstr>
      <vt:lpstr>CHF_REPORTFILE</vt:lpstr>
      <vt:lpstr>CHF_RP</vt:lpstr>
      <vt:lpstr>DELTA_PMRQ</vt:lpstr>
      <vt:lpstr>DELTA_REPORT</vt:lpstr>
      <vt:lpstr>DTB</vt:lpstr>
      <vt:lpstr>DTE</vt:lpstr>
      <vt:lpstr>EUR_ADMIN</vt:lpstr>
      <vt:lpstr>EUR_CASH</vt:lpstr>
      <vt:lpstr>EUR_CHARGES</vt:lpstr>
      <vt:lpstr>EUR_DELTA_PMRQ</vt:lpstr>
      <vt:lpstr>EUR_DELTA_REPORT</vt:lpstr>
      <vt:lpstr>EUR_EXTRA</vt:lpstr>
      <vt:lpstr>EUR_FX</vt:lpstr>
      <vt:lpstr>EUR_ICL</vt:lpstr>
      <vt:lpstr>EUR_LSB</vt:lpstr>
      <vt:lpstr>EUR_MS</vt:lpstr>
      <vt:lpstr>EUR_NAME</vt:lpstr>
      <vt:lpstr>EUR_OTHER</vt:lpstr>
      <vt:lpstr>EUR_PMRQ</vt:lpstr>
      <vt:lpstr>EUR_PMRQFILE</vt:lpstr>
      <vt:lpstr>EUR_RATE</vt:lpstr>
      <vt:lpstr>EUR_RATE_P</vt:lpstr>
      <vt:lpstr>EUR_REPORT</vt:lpstr>
      <vt:lpstr>EUR_REPORTFILE</vt:lpstr>
      <vt:lpstr>EUR_RP</vt:lpstr>
      <vt:lpstr>GBP_ADMIN</vt:lpstr>
      <vt:lpstr>GBP_CASH</vt:lpstr>
      <vt:lpstr>GBP_CHARGES</vt:lpstr>
      <vt:lpstr>GBP_DELTA_PMRQ</vt:lpstr>
      <vt:lpstr>GBP_DELTA_REPORT</vt:lpstr>
      <vt:lpstr>GBP_EXTRA</vt:lpstr>
      <vt:lpstr>GBP_FX</vt:lpstr>
      <vt:lpstr>GBP_ICL</vt:lpstr>
      <vt:lpstr>GBP_LSB</vt:lpstr>
      <vt:lpstr>GBP_MS</vt:lpstr>
      <vt:lpstr>GBP_NAME</vt:lpstr>
      <vt:lpstr>GBP_OTHER</vt:lpstr>
      <vt:lpstr>GBP_PMRQ</vt:lpstr>
      <vt:lpstr>GBP_PMRQFILE</vt:lpstr>
      <vt:lpstr>GBP_RATE</vt:lpstr>
      <vt:lpstr>GBP_RATE_P</vt:lpstr>
      <vt:lpstr>GBP_REPORT</vt:lpstr>
      <vt:lpstr>GBP_REPORTFILE</vt:lpstr>
      <vt:lpstr>GBP_RP</vt:lpstr>
      <vt:lpstr>PREV_AED</vt:lpstr>
      <vt:lpstr>PREV_AED_USD</vt:lpstr>
      <vt:lpstr>PREV_CHF</vt:lpstr>
      <vt:lpstr>PREV_CHF_USD</vt:lpstr>
      <vt:lpstr>PREV_EUR</vt:lpstr>
      <vt:lpstr>PREV_EUR_USD</vt:lpstr>
      <vt:lpstr>PREV_GBP</vt:lpstr>
      <vt:lpstr>PREV_GBP_USD</vt:lpstr>
      <vt:lpstr>PREV_USD</vt:lpstr>
      <vt:lpstr>PREV_USD_USD</vt:lpstr>
      <vt:lpstr>RATE_AED_USD</vt:lpstr>
      <vt:lpstr>RATE_CHF_USD</vt:lpstr>
      <vt:lpstr>RATE_EUR_USD</vt:lpstr>
      <vt:lpstr>RATE_GBP_USD</vt:lpstr>
      <vt:lpstr>USD_ADMIN</vt:lpstr>
      <vt:lpstr>USD_CASH</vt:lpstr>
      <vt:lpstr>USD_CHARGES</vt:lpstr>
      <vt:lpstr>USD_DELTA_PMRQ</vt:lpstr>
      <vt:lpstr>USD_DELTA_REPORT</vt:lpstr>
      <vt:lpstr>USD_EXTRA</vt:lpstr>
      <vt:lpstr>USD_FX</vt:lpstr>
      <vt:lpstr>USD_ICL</vt:lpstr>
      <vt:lpstr>USD_LSB</vt:lpstr>
      <vt:lpstr>USD_MS</vt:lpstr>
      <vt:lpstr>USD_NAME</vt:lpstr>
      <vt:lpstr>USD_OTHER</vt:lpstr>
      <vt:lpstr>USD_PMRQ</vt:lpstr>
      <vt:lpstr>USD_PMRQFILE</vt:lpstr>
      <vt:lpstr>USD_REPORT</vt:lpstr>
      <vt:lpstr>USD_REPORTFILE</vt:lpstr>
      <vt:lpstr>USD_RP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2020-05-07T09:08:17Z</dcterms:modified>
</cp:coreProperties>
</file>