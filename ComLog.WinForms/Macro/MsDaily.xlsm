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6565" windowHeight="10140"/>
  </bookViews>
  <sheets>
    <sheet name="MS_Daily" sheetId="3" r:id="rId1"/>
    <sheet name="Activity" sheetId="7" r:id="rId2"/>
    <sheet name="PMRQ" sheetId="8" r:id="rId3"/>
  </sheets>
  <functionGroups builtInGroupCount="18"/>
  <definedNames>
    <definedName name="ACTIVITY_CHF">MS_Daily!$F$15</definedName>
    <definedName name="ACTIVITY_CHF_USD">MS_Daily!$F$6</definedName>
    <definedName name="ACTIVITY_EUR">MS_Daily!$F$13</definedName>
    <definedName name="ACTIVITY_EUR_USD">MS_Daily!$F$4</definedName>
    <definedName name="ACTIVITY_GBP">MS_Daily!$F$14</definedName>
    <definedName name="ACTIVITY_GBP_USD">MS_Daily!$F$5</definedName>
    <definedName name="ACTIVITY_HKD">MS_Daily!#REF!</definedName>
    <definedName name="ACTIVITY_HKD_USD">MS_Daily!#REF!</definedName>
    <definedName name="ACTIVITY_USD">MS_Daily!$F$12</definedName>
    <definedName name="ACTIVITY_USD_USD">MS_Daily!$F$3</definedName>
    <definedName name="AED_NAME">MS_Daily!$D$7</definedName>
    <definedName name="AED_PMRQFILE">MS_Daily!$L$24</definedName>
    <definedName name="AED_RATE">MS_Daily!$I$7</definedName>
    <definedName name="ALL_PMRQ">MS_Daily!$K$18</definedName>
    <definedName name="ALL_PMRQFILE">MS_Daily!$L$18</definedName>
    <definedName name="ALL_REPORT">MS_Daily!$B$18</definedName>
    <definedName name="ALL_REPORTFILE">MS_Daily!$C$18</definedName>
    <definedName name="BALANCE_CHF">MS_Daily!$G$15</definedName>
    <definedName name="BALANCE_CHF_USD">MS_Daily!$H$6</definedName>
    <definedName name="BALANCE_EUR">MS_Daily!$G$13</definedName>
    <definedName name="BALANCE_EUR_USD">MS_Daily!$H$4</definedName>
    <definedName name="BALANCE_GBP">MS_Daily!$G$14</definedName>
    <definedName name="BALANCE_GBP_USD">MS_Daily!$H$5</definedName>
    <definedName name="BALANCE_HKD">MS_Daily!#REF!</definedName>
    <definedName name="BALANCE_HKD_USD">MS_Daily!#REF!</definedName>
    <definedName name="BALANCE_USD">MS_Daily!$G$12</definedName>
    <definedName name="BALANCE_USD_USD">MS_Daily!$H$3</definedName>
    <definedName name="CHF_ADMIN">MS_Daily!$I$23</definedName>
    <definedName name="CHF_CHARGES">MS_Daily!$G$23</definedName>
    <definedName name="CHF_DELTA_REPORT">MS_Daily!$D$23</definedName>
    <definedName name="CHF_LSB">MS_Daily!$H$23</definedName>
    <definedName name="CHF_NAME">MS_Daily!$D$6</definedName>
    <definedName name="CHF_OTHER">MS_Daily!$F$23</definedName>
    <definedName name="CHF_PMRQ">MS_Daily!$K$23</definedName>
    <definedName name="CHF_PMRQFILE">MS_Daily!$L$23</definedName>
    <definedName name="CHF_RATE">MS_Daily!$I$6</definedName>
    <definedName name="CHF_RATE_P">MS_Daily!$C$6</definedName>
    <definedName name="CHF_REPORT">MS_Daily!$B$23</definedName>
    <definedName name="CHF_REPORTFILE">MS_Daily!$C$23</definedName>
    <definedName name="DELTA_PMRQ">MS_Daily!$M$18</definedName>
    <definedName name="DELTA_REPORT">MS_Daily!$D$18</definedName>
    <definedName name="DTB">MS_Daily!$B$1</definedName>
    <definedName name="DTE">MS_Daily!$C$1</definedName>
    <definedName name="EUR_ADMIN">MS_Daily!$I$21</definedName>
    <definedName name="EUR_CHARGES">MS_Daily!$G$21</definedName>
    <definedName name="EUR_DELTA_REPORT">MS_Daily!$D$21</definedName>
    <definedName name="EUR_LSB">MS_Daily!$H$21</definedName>
    <definedName name="EUR_NAME">MS_Daily!$D$4</definedName>
    <definedName name="EUR_OTHER">MS_Daily!$F$21</definedName>
    <definedName name="EUR_PMRQ">MS_Daily!$K$21</definedName>
    <definedName name="EUR_PMRQFILE">MS_Daily!$L$21</definedName>
    <definedName name="EUR_RATE">MS_Daily!$I$4</definedName>
    <definedName name="EUR_RATE_P">MS_Daily!$C$4</definedName>
    <definedName name="EUR_REPORT">MS_Daily!$B$21</definedName>
    <definedName name="EUR_REPORTFILE">MS_Daily!$C$21</definedName>
    <definedName name="GBP_ADMIN">MS_Daily!$I$22</definedName>
    <definedName name="GBP_CHARGES">MS_Daily!$G$22</definedName>
    <definedName name="GBP_DELTA_REPORT">MS_Daily!$D$22</definedName>
    <definedName name="GBP_LSB">MS_Daily!$H$22</definedName>
    <definedName name="GBP_NAME">MS_Daily!$D$5</definedName>
    <definedName name="GBP_OTHER">MS_Daily!$F$22</definedName>
    <definedName name="GBP_PMRQ">MS_Daily!$K$22</definedName>
    <definedName name="GBP_PMRQFILE">MS_Daily!$L$22</definedName>
    <definedName name="GBP_RATE">MS_Daily!$I$5</definedName>
    <definedName name="GBP_RATE_P">MS_Daily!$C$5</definedName>
    <definedName name="GBP_REPORT">MS_Daily!$B$22</definedName>
    <definedName name="GBP_REPORTFILE">MS_Daily!$C$22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MS_Daily!$E$15</definedName>
    <definedName name="PREV_CHF_USD">MS_Daily!$E$6</definedName>
    <definedName name="PREV_EUR">MS_Daily!$E$13</definedName>
    <definedName name="PREV_EUR_USD">MS_Daily!$E$4</definedName>
    <definedName name="PREV_GBP">MS_Daily!$E$14</definedName>
    <definedName name="PREV_GBP_USD">MS_Daily!$E$5</definedName>
    <definedName name="PREV_HKD">MS_Daily!#REF!</definedName>
    <definedName name="PREV_HKD_USD">MS_Daily!#REF!</definedName>
    <definedName name="PREV_USD">MS_Daily!$E$12</definedName>
    <definedName name="PREV_USD_USD">MS_Daily!$E$3</definedName>
    <definedName name="RATE_CHF_USD">MS_Daily!$G$6</definedName>
    <definedName name="RATE_EUR_USD">MS_Daily!$G$4</definedName>
    <definedName name="RATE_GBP_USD">MS_Daily!$G$5</definedName>
    <definedName name="RATE_HKD_USD">MS_Daily!#REF!</definedName>
    <definedName name="USD_ADMIN">MS_Daily!$I$20</definedName>
    <definedName name="USD_CHARGES">MS_Daily!$G$20</definedName>
    <definedName name="USD_DELTA_REPORT">MS_Daily!$D$20</definedName>
    <definedName name="USD_LSB">MS_Daily!$H$20</definedName>
    <definedName name="USD_NAME">MS_Daily!$D$3</definedName>
    <definedName name="USD_OTHER">MS_Daily!$F$20</definedName>
    <definedName name="USD_PMRQ">MS_Daily!$K$20</definedName>
    <definedName name="USD_PMRQFILE">MS_Daily!$L$20</definedName>
    <definedName name="USD_REPORT">MS_Daily!$B$20</definedName>
    <definedName name="USD_REPORTFILE">MS_Daily!$C$20</definedName>
  </definedNames>
  <calcPr calcId="152511"/>
  <fileRecoveryPr autoRecover="0"/>
</workbook>
</file>

<file path=xl/calcChain.xml><?xml version="1.0" encoding="utf-8"?>
<calcChain xmlns="http://schemas.openxmlformats.org/spreadsheetml/2006/main">
  <c r="I23" i="3" l="1"/>
  <c r="H23" i="3"/>
  <c r="G23" i="3"/>
  <c r="F23" i="3"/>
  <c r="I22" i="3"/>
  <c r="H22" i="3"/>
  <c r="G22" i="3"/>
  <c r="F22" i="3"/>
  <c r="I21" i="3"/>
  <c r="H21" i="3"/>
  <c r="G21" i="3"/>
  <c r="F21" i="3"/>
  <c r="I20" i="3"/>
  <c r="I18" i="3" s="1"/>
  <c r="H20" i="3"/>
  <c r="H18" i="3" s="1"/>
  <c r="G20" i="3"/>
  <c r="F20" i="3"/>
  <c r="F18" i="3" s="1"/>
  <c r="G18" i="3"/>
  <c r="L24" i="3" l="1"/>
  <c r="L23" i="3" l="1"/>
  <c r="L22" i="3"/>
  <c r="L21" i="3"/>
  <c r="L20" i="3"/>
  <c r="L18" i="3" l="1"/>
  <c r="E15" i="3"/>
  <c r="E6" i="3" s="1"/>
  <c r="E14" i="3"/>
  <c r="E5" i="3" s="1"/>
  <c r="E13" i="3"/>
  <c r="E4" i="3" s="1"/>
  <c r="E12" i="3"/>
  <c r="E3" i="3" s="1"/>
  <c r="G15" i="3"/>
  <c r="H6" i="3" s="1"/>
  <c r="G14" i="3"/>
  <c r="I14" i="3" s="1"/>
  <c r="G13" i="3"/>
  <c r="H4" i="3" s="1"/>
  <c r="G12" i="3"/>
  <c r="H3" i="3" s="1"/>
  <c r="E2" i="3" l="1"/>
  <c r="I13" i="3"/>
  <c r="I12" i="3"/>
  <c r="F15" i="3"/>
  <c r="F6" i="3" s="1"/>
  <c r="G6" i="3" s="1"/>
  <c r="F14" i="3"/>
  <c r="F5" i="3" s="1"/>
  <c r="H5" i="3"/>
  <c r="H2" i="3" s="1"/>
  <c r="F13" i="3"/>
  <c r="F4" i="3" s="1"/>
  <c r="G4" i="3" s="1"/>
  <c r="F12" i="3"/>
  <c r="F3" i="3" s="1"/>
  <c r="F2" i="3" l="1"/>
  <c r="G5" i="3"/>
  <c r="G2" i="3" s="1"/>
  <c r="C23" i="3" l="1"/>
  <c r="C22" i="3"/>
  <c r="C21" i="3"/>
  <c r="C20" i="3"/>
  <c r="C18" i="3" l="1"/>
  <c r="B23" i="3"/>
  <c r="D23" i="3" s="1"/>
  <c r="B22" i="3"/>
  <c r="B21" i="3"/>
  <c r="D21" i="3" s="1"/>
  <c r="B20" i="3"/>
  <c r="D20" i="3" l="1"/>
  <c r="B18" i="3"/>
  <c r="D18" i="3" s="1"/>
  <c r="D22" i="3"/>
  <c r="K23" i="3"/>
  <c r="M23" i="3" s="1"/>
  <c r="K22" i="3"/>
  <c r="M22" i="3" s="1"/>
  <c r="K21" i="3"/>
  <c r="M21" i="3" s="1"/>
  <c r="K20" i="3"/>
  <c r="M20" i="3" l="1"/>
  <c r="K18" i="3"/>
  <c r="M18" i="3" s="1"/>
</calcChain>
</file>

<file path=xl/sharedStrings.xml><?xml version="1.0" encoding="utf-8"?>
<sst xmlns="http://schemas.openxmlformats.org/spreadsheetml/2006/main" count="80" uniqueCount="55">
  <si>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</si>
  <si>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</si>
  <si>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</si>
  <si>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</si>
  <si>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</si>
  <si>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</si>
  <si>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</si>
  <si>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</si>
  <si>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</si>
  <si>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</si>
  <si>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</si>
  <si>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</si>
  <si>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</si>
  <si>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</si>
  <si>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</si>
  <si>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</si>
  <si>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</si>
  <si>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</si>
  <si>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</si>
  <si>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</si>
  <si>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</si>
  <si>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</si>
  <si>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</si>
  <si>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</si>
  <si>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</si>
  <si>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</si>
  <si>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</si>
  <si>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</si>
  <si>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</si>
  <si>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</si>
  <si>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</si>
  <si>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</si>
  <si>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</si>
  <si>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№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</si>
  <si>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</si>
  <si>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</si>
  <si>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</si>
  <si>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</si>
  <si>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</si>
  <si>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</si>
  <si>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</si>
  <si>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</si>
  <si>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Other $</t>
  </si>
  <si>
    <t>Other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</si>
  <si>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</si>
  <si>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</si>
  <si>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</si>
  <si>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</si>
  <si>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</si>
  <si>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</si>
  <si>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</si>
  <si>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</si>
  <si>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Admin/Infrastructure $</t>
  </si>
  <si>
    <t>LSB</t>
  </si>
  <si>
    <t>Admin/Infrastructure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</si>
</sst>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  <numFmt numFmtId="173" formatCode="#,##0.00_ ;[Red]\-#,##0.00\ "/>
    <numFmt numFmtId="174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1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6" xfId="0" applyNumberFormat="1" applyFont="1" applyFill="1" applyBorder="1"/>
    <xf numFmtId="168" fontId="6" fillId="5" borderId="7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3" fillId="8" borderId="1" xfId="0" applyNumberFormat="1" applyFont="1" applyFill="1" applyBorder="1" applyAlignment="1">
      <alignment horizontal="right"/>
    </xf>
    <xf numFmtId="169" fontId="13" fillId="8" borderId="3" xfId="0" applyNumberFormat="1" applyFont="1" applyFill="1" applyBorder="1" applyAlignment="1">
      <alignment horizontal="right"/>
    </xf>
    <xf numFmtId="170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3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70" fontId="13" fillId="14" borderId="0" xfId="0" applyNumberFormat="1" applyFont="1" applyFill="1" applyBorder="1" applyAlignment="1">
      <alignment horizontal="right"/>
    </xf>
    <xf numFmtId="174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9" xfId="0" applyFont="1" applyBorder="1" applyAlignment="1">
      <alignment horizontal="center"/>
    </xf>
  </cellXfs>
  <cellStyles count="3">
    <cellStyle name="Normal" xfId="0" builtinId="0"/>
    <cellStyle name="Normal 2" xfId="2"/>
    <cellStyle name="Normal 4" xfId="1"/>
  </cellStyles>
  <dxfs count="23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numFmt numFmtId="173" formatCode="#,##0.00_ ;[Red]\-#,##0.00\ "/>
    </dxf>
    <dxf>
      <numFmt numFmtId="19" formatCode="dd/mm/yyyy"/>
    </dxf>
    <dxf>
      <numFmt numFmtId="173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26:M35" totalsRowShown="0" headerRowDxfId="22">
  <autoFilter ref="B26:M35"/>
  <tableColumns count="12">
    <tableColumn id="1" name="PREVIOUS" dataDxfId="21"/>
    <tableColumn id="2" name="Bank" dataDxfId="20"/>
    <tableColumn id="3" name="Currency" dataDxfId="19"/>
    <tableColumn id="4" name="FromTo" dataDxfId="18"/>
    <tableColumn id="5" name="Description" dataDxfId="17"/>
    <tableColumn id="6" name="Debit/Credit" dataDxfId="16"/>
    <tableColumn id="7" name="Charges" dataDxfId="15"/>
    <tableColumn id="8" name="Σ activity by curr." dataDxfId="14"/>
    <tableColumn id="9" name="BALANCE" dataDxfId="13"/>
    <tableColumn id="10" name="Report" dataDxfId="12"/>
    <tableColumn id="11" name="PMRQ" dataDxfId="11"/>
    <tableColumn id="12" name="TrType" dataDxfId="10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F3" insertRow="1" totalsRowShown="0" headerRowDxfId="9">
  <autoFilter ref="B2:F3"/>
  <tableColumns count="5">
    <tableColumn id="1" name="Date" dataDxfId="8"/>
    <tableColumn id="2" name="Bank"/>
    <tableColumn id="3" name="Currency"/>
    <tableColumn id="4" name="Total" dataDxfId="7"/>
    <tableColumn id="5" name="Regulat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K3" insertRow="1" totalsRowShown="0">
  <autoFilter ref="B2:K3"/>
  <tableColumns count="10">
    <tableColumn id="1" name="№"/>
    <tableColumn id="2" name="Date" dataDxfId="6"/>
    <tableColumn id="3" name="Bank"/>
    <tableColumn id="4" name="Account"/>
    <tableColumn id="5" name="Cur"/>
    <tableColumn id="6" name="SUM" dataDxfId="5"/>
    <tableColumn id="7" name="Beneficiary"/>
    <tableColumn id="8" name="Description"/>
    <tableColumn id="9" name="STATUS(MS)"/>
    <tableColumn id="10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35"/>
  <sheetViews>
    <sheetView tabSelected="1" zoomScale="90" zoomScaleNormal="90" workbookViewId="0">
      <pane ySplit="26" topLeftCell="A28" activePane="bottomLeft" state="frozen"/>
      <selection pane="bottomLeft" activeCell="I22" sqref="I22"/>
    </sheetView>
  </sheetViews>
  <sheetFormatPr defaultColWidth="8.7109375" defaultRowHeight="15" outlineLevelRow="1" x14ac:dyDescent="0.25"/>
  <cols>
    <col min="1" max="1" width="8.28515625" style="1" bestFit="1" customWidth="1"/>
    <col min="2" max="2" width="18.5703125" style="1" customWidth="1"/>
    <col min="3" max="3" width="17.28515625" style="1" bestFit="1" customWidth="1"/>
    <col min="4" max="4" width="17.7109375" style="1" customWidth="1"/>
    <col min="5" max="5" width="32.7109375" style="1" customWidth="1"/>
    <col min="6" max="6" width="29.7109375" style="1" customWidth="1"/>
    <col min="7" max="7" width="22.140625" style="1" customWidth="1"/>
    <col min="8" max="8" width="18.7109375" style="1" customWidth="1"/>
    <col min="9" max="9" width="23.570312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2.7109375" style="1" bestFit="1" customWidth="1"/>
    <col min="14" max="16384" width="8.7109375" style="1"/>
  </cols>
  <sheetData>
    <row r="1" spans="1:11" ht="15.75" x14ac:dyDescent="0.25">
      <c r="B1" s="4">
        <v>43194</v>
      </c>
      <c r="C1" s="4"/>
      <c r="E1" s="5" t="s">
        <v>18</v>
      </c>
      <c r="F1" s="5" t="s">
        <v>19</v>
      </c>
      <c r="G1" s="5" t="s">
        <v>21</v>
      </c>
      <c r="H1" s="5" t="s">
        <v>20</v>
      </c>
      <c r="I1" s="3"/>
    </row>
    <row r="2" spans="1:11" x14ac:dyDescent="0.25">
      <c r="E2" s="6">
        <f>PREV_USD_USD+PREV_EUR_USD+PREV_GBP_USD+PREV_CHF_USD</f>
        <v>249362.15499999997</v>
      </c>
      <c r="F2" s="6">
        <f>ACTIVITY_USD_USD+ACTIVITY_EUR_USD+ACTIVITY_GBP_USD+ACTIVITY_CHF_USD</f>
        <v>-566474.50390000001</v>
      </c>
      <c r="G2" s="6">
        <f>RATE_EUR_USD+RATE_GBP_USD+RATE_CHF_USD</f>
        <v>-1473.0955000000249</v>
      </c>
      <c r="H2" s="6">
        <f>BALANCE_USD_USD+BALANCE_EUR_USD+BALANCE_GBP_USD+BALANCE_CHF_USD</f>
        <v>-318585.44440000009</v>
      </c>
      <c r="I2" s="3"/>
    </row>
    <row r="3" spans="1:11" customFormat="1" hidden="1" x14ac:dyDescent="0.25">
      <c r="A3" s="1"/>
      <c r="B3" s="1"/>
      <c r="C3" s="1"/>
      <c r="D3" s="30" t="s">
        <v>3</v>
      </c>
      <c r="E3" s="25">
        <f>PREV_USD</f>
        <v>51352.54</v>
      </c>
      <c r="F3" s="25">
        <f>ACTIVITY_USD</f>
        <v>-49407.49</v>
      </c>
      <c r="G3" s="25">
        <v>0</v>
      </c>
      <c r="H3" s="25">
        <f>BALANCE_USD</f>
        <v>1945.05</v>
      </c>
      <c r="I3" s="1"/>
      <c r="J3" s="1"/>
      <c r="K3" s="1"/>
    </row>
    <row r="4" spans="1:11" hidden="1" x14ac:dyDescent="0.25">
      <c r="C4" s="24">
        <v>1.2</v>
      </c>
      <c r="D4" s="26" t="s">
        <v>2</v>
      </c>
      <c r="E4" s="27">
        <f>PREV_EUR*EUR_RATE_P</f>
        <v>3123.4560000000001</v>
      </c>
      <c r="F4" s="27">
        <f>ACTIVITY_EUR*EUR_RATE</f>
        <v>-517197.06390000001</v>
      </c>
      <c r="G4" s="27">
        <f>BALANCE_EUR_USD-(PREV_EUR_USD+ACTIVITY_EUR_USD)</f>
        <v>26.028799999970943</v>
      </c>
      <c r="H4" s="27">
        <f>BALANCE_EUR*EUR_RATE</f>
        <v>-514047.57910000003</v>
      </c>
      <c r="I4" s="24">
        <v>1.21</v>
      </c>
    </row>
    <row r="5" spans="1:11" hidden="1" x14ac:dyDescent="0.25">
      <c r="C5" s="24">
        <v>1.3</v>
      </c>
      <c r="D5" s="28" t="s">
        <v>4</v>
      </c>
      <c r="E5" s="29">
        <f>PREV_GBP*GBP_RATE_P</f>
        <v>194886.15899999999</v>
      </c>
      <c r="F5" s="29">
        <f>ACTIVITY_GBP*GBP_RATE</f>
        <v>129</v>
      </c>
      <c r="G5" s="29">
        <f>BALANCE_GBP_USD-(PREV_GBP_USD+ACTIVITY_GBP_USD)</f>
        <v>-1499.1242999999959</v>
      </c>
      <c r="H5" s="29">
        <f>BALANCE_GBP*GBP_RATE</f>
        <v>193516.03469999999</v>
      </c>
      <c r="I5" s="24">
        <v>1.29</v>
      </c>
    </row>
    <row r="6" spans="1:11" hidden="1" x14ac:dyDescent="0.25">
      <c r="C6" s="24">
        <v>1.04</v>
      </c>
      <c r="D6" s="31" t="s">
        <v>1</v>
      </c>
      <c r="E6" s="32">
        <f>PREV_CHF*CHF_RATE_P</f>
        <v>0</v>
      </c>
      <c r="F6" s="32">
        <f>ACTIVITY_CHF*CHF_RATE</f>
        <v>1.05</v>
      </c>
      <c r="G6" s="32">
        <f>BALANCE_CHF_USD-(PREV_CHF_USD+ACTIVITY_CHF_USD)</f>
        <v>0</v>
      </c>
      <c r="H6" s="32">
        <f>BALANCE_CHF*CHF_RATE</f>
        <v>1.05</v>
      </c>
      <c r="I6" s="24">
        <v>1.05</v>
      </c>
    </row>
    <row r="7" spans="1:11" hidden="1" x14ac:dyDescent="0.25">
      <c r="D7" s="47" t="s">
        <v>38</v>
      </c>
      <c r="I7" s="24">
        <v>0.27225700000000003</v>
      </c>
    </row>
    <row r="8" spans="1:11" customFormat="1" hidden="1" x14ac:dyDescent="0.25">
      <c r="G8" s="1"/>
      <c r="H8" s="1"/>
      <c r="I8" s="1"/>
    </row>
    <row r="9" spans="1:11" x14ac:dyDescent="0.25">
      <c r="B9" s="2"/>
      <c r="C9" s="3"/>
      <c r="D9"/>
      <c r="E9" s="3"/>
      <c r="F9" s="3"/>
    </row>
    <row r="10" spans="1:11" x14ac:dyDescent="0.25">
      <c r="B10" s="2"/>
      <c r="C10" s="3"/>
      <c r="D10"/>
      <c r="E10" s="3"/>
      <c r="F10" s="3"/>
    </row>
    <row r="11" spans="1:11" x14ac:dyDescent="0.25">
      <c r="E11" s="43" t="s">
        <v>8</v>
      </c>
      <c r="F11" s="43" t="s">
        <v>9</v>
      </c>
      <c r="G11" s="43" t="s">
        <v>10</v>
      </c>
      <c r="H11" s="44" t="s">
        <v>11</v>
      </c>
      <c r="I11" s="44" t="s">
        <v>12</v>
      </c>
    </row>
    <row r="12" spans="1:11" x14ac:dyDescent="0.25">
      <c r="E12" s="6">
        <f>SUMIFS(MsDailyTable[PREVIOUS],MsDailyTable[Currency],USD_NAME)</f>
        <v>51352.54</v>
      </c>
      <c r="F12" s="6">
        <f>BALANCE_USD-PREV_USD</f>
        <v>-49407.49</v>
      </c>
      <c r="G12" s="6">
        <f>SUMIFS(MsDailyTable[BALANCE],MsDailyTable[Currency],USD_NAME)</f>
        <v>1945.05</v>
      </c>
      <c r="H12" s="7"/>
      <c r="I12" s="8">
        <f>BALANCE_USD+H12</f>
        <v>1945.05</v>
      </c>
    </row>
    <row r="13" spans="1:11" x14ac:dyDescent="0.25">
      <c r="E13" s="9">
        <f>SUMIFS(MsDailyTable[PREVIOUS],MsDailyTable[Currency],EUR_NAME)</f>
        <v>2602.88</v>
      </c>
      <c r="F13" s="10">
        <f>BALANCE_EUR-PREV_EUR</f>
        <v>-427435.59</v>
      </c>
      <c r="G13" s="11">
        <f>SUMIFS(MsDailyTable[BALANCE],MsDailyTable[Currency],EUR_NAME)</f>
        <v>-424832.71</v>
      </c>
      <c r="H13" s="12"/>
      <c r="I13" s="13">
        <f>BALANCE_EUR+H13</f>
        <v>-424832.71</v>
      </c>
    </row>
    <row r="14" spans="1:11" x14ac:dyDescent="0.25">
      <c r="E14" s="37">
        <f>SUMIFS(MsDailyTable[PREVIOUS],MsDailyTable[Currency],GBP_NAME)</f>
        <v>149912.43</v>
      </c>
      <c r="F14" s="38">
        <f>BALANCE_GBP-PREV_GBP</f>
        <v>100</v>
      </c>
      <c r="G14" s="37">
        <f>SUMIFS(MsDailyTable[BALANCE],MsDailyTable[Currency],GBP_NAME)</f>
        <v>150012.43</v>
      </c>
      <c r="H14" s="14"/>
      <c r="I14" s="15">
        <f>BALANCE_GBP+H14</f>
        <v>150012.43</v>
      </c>
    </row>
    <row r="15" spans="1:11" x14ac:dyDescent="0.25">
      <c r="E15" s="39">
        <f>SUMIFS(MsDailyTable[PREVIOUS],MsDailyTable[Currency],CHF_NAME)</f>
        <v>0</v>
      </c>
      <c r="F15" s="39">
        <f>BALANCE_CHF-PREV_CHF</f>
        <v>1</v>
      </c>
      <c r="G15" s="39">
        <f>SUMIFS(MsDailyTable[BALANCE],MsDailyTable[Currency],CHF_NAME)</f>
        <v>1</v>
      </c>
      <c r="I15" s="16"/>
    </row>
    <row r="16" spans="1:11" customFormat="1" x14ac:dyDescent="0.25"/>
    <row r="17" spans="2:13" customFormat="1" outlineLevel="1" x14ac:dyDescent="0.25">
      <c r="B17" s="5" t="s">
        <v>39</v>
      </c>
      <c r="C17" s="5" t="s">
        <v>31</v>
      </c>
      <c r="D17" s="5" t="s">
        <v>46</v>
      </c>
      <c r="F17" s="5" t="s">
        <v>42</v>
      </c>
      <c r="G17" s="5" t="s">
        <v>50</v>
      </c>
      <c r="H17" s="5" t="s">
        <v>51</v>
      </c>
      <c r="I17" s="5" t="s">
        <v>52</v>
      </c>
      <c r="J17" s="1"/>
      <c r="K17" s="5" t="s">
        <v>39</v>
      </c>
      <c r="L17" s="5" t="s">
        <v>32</v>
      </c>
      <c r="M17" s="5" t="s">
        <v>48</v>
      </c>
    </row>
    <row r="18" spans="2:13" customFormat="1" outlineLevel="1" x14ac:dyDescent="0.25">
      <c r="B18" s="6">
        <f>USD_REPORT+EUR_REPORT*EUR_RATE+GBP_REPORT*GBP_RATE+CHF_REPORT*CHF_RATE</f>
        <v>-315899.57899999997</v>
      </c>
      <c r="C18" s="6">
        <f>USD_REPORTFILE+EUR_REPORTFILE*EUR_RATE+GBP_REPORTFILE*GBP_RATE+CHF_REPORTFILE*CHF_RATE</f>
        <v>0</v>
      </c>
      <c r="D18" s="6">
        <f>ALL_REPORT-ALL_REPORTFILE</f>
        <v>-315899.57899999997</v>
      </c>
      <c r="F18" s="6">
        <f>USD_OTHER+EUR_OTHER*EUR_RATE+GBP_OTHER*GBP_RATE+CHF_OTHER*CHF_RATE</f>
        <v>0</v>
      </c>
      <c r="G18" s="6">
        <f>USD_CHARGES+EUR_CHARGES*EUR_RATE+GBP_CHARGES*GBP_RATE+CHF_CHARGES*CHF_RATE</f>
        <v>0</v>
      </c>
      <c r="H18" s="6">
        <f>USD_LSB+EUR_LSB*EUR_RATE+GBP_LSB*GBP_RATE+CHF_LSB*CHF_RATE</f>
        <v>0</v>
      </c>
      <c r="I18" s="6">
        <f>USD_ADMIN+EUR_ADMIN*EUR_RATE+GBP_ADMIN*GBP_RATE+CHF_ADMIN*CHF_RATE</f>
        <v>0</v>
      </c>
      <c r="J18" s="1"/>
      <c r="K18" s="6">
        <f>USD_PMRQ+EUR_PMRQ*EUR_RATE+GBP_PMRQ*GBP_RATE+CHF_PMRQ*CHF_RATE</f>
        <v>101.05</v>
      </c>
      <c r="L18" s="6">
        <f>USD_PMRQFILE+EUR_PMRQFILE*EUR_RATE+GBP_PMRQFILE*GBP_RATE+CHF_PMRQFILE*CHF_RATE+AED_PMRQFILE*AED_RATE</f>
        <v>0</v>
      </c>
      <c r="M18" s="6">
        <f>ALL_PMRQ-ALL_PMRQFILE</f>
        <v>101.05</v>
      </c>
    </row>
    <row r="19" spans="2:13" customFormat="1" outlineLevel="1" x14ac:dyDescent="0.25">
      <c r="B19" s="43" t="s">
        <v>40</v>
      </c>
      <c r="C19" s="43" t="s">
        <v>24</v>
      </c>
      <c r="D19" s="43" t="s">
        <v>47</v>
      </c>
      <c r="F19" s="43" t="s">
        <v>43</v>
      </c>
      <c r="G19" s="43" t="s">
        <v>22</v>
      </c>
      <c r="H19" s="43" t="s">
        <v>53</v>
      </c>
      <c r="I19" s="43" t="s">
        <v>54</v>
      </c>
      <c r="J19" s="1"/>
      <c r="K19" s="43" t="s">
        <v>40</v>
      </c>
      <c r="L19" s="43" t="s">
        <v>25</v>
      </c>
      <c r="M19" s="43" t="s">
        <v>49</v>
      </c>
    </row>
    <row r="20" spans="2:13" customFormat="1" outlineLevel="1" x14ac:dyDescent="0.25">
      <c r="B20" s="6">
        <f>SUMIFS(MsDailyTable[Debit/Credit],MsDailyTable[Currency],USD_NAME,MsDailyTable[Report],"&lt;&gt;")</f>
        <v>0</v>
      </c>
      <c r="C20" s="6">
        <f>SUMIFS(Activity[Total],Activity[Currency],USD_NAME,Activity[Regulated],FALSE)</f>
        <v>0</v>
      </c>
      <c r="D20" s="6">
        <f>USD_REPORT-USD_REPORTFILE</f>
        <v>0</v>
      </c>
      <c r="F20" s="6">
        <f>SUMIFS(MsDailyTable[Debit/Credit],MsDailyTable[Currency],USD_NAME,MsDailyTable[Report],"=",MsDailyTable[PMRQ],"=",MsDailyTable[TrType],"Other")</f>
        <v>0</v>
      </c>
      <c r="G20" s="6">
        <f>SUMIFS(MsDailyTable[Charges],MsDailyTable[Currency],USD_NAME)</f>
        <v>0</v>
      </c>
      <c r="H20" s="6">
        <f>SUMIFS(MsDailyTable[Debit/Credit],MsDailyTable[Currency],USD_NAME,MsDailyTable[Report],"=",MsDailyTable[PMRQ],"=",MsDailyTable[TrType],"LSB")</f>
        <v>0</v>
      </c>
      <c r="I20" s="6">
        <f>SUMIFS(MsDailyTable[Debit/Credit],MsDailyTable[Currency],USD_NAME,MsDailyTable[Report],"=",MsDailyTable[PMRQ],"=",MsDailyTable[TrType],"Admin/Infrastructure")</f>
        <v>0</v>
      </c>
      <c r="J20" s="1"/>
      <c r="K20" s="6">
        <f>SUMIFS(MsDailyTable[Debit/Credit],MsDailyTable[Currency],USD_NAME,MsDailyTable[PMRQ],"&lt;&gt;")</f>
        <v>100</v>
      </c>
      <c r="L20" s="6">
        <f>-1*IF(DTE="",SUMIFS(PMRQ[SUM],PMRQ[Cur],USD_NAME,PMRQ[Date],DTB),SUMIFS(PMRQ[SUM],PMRQ[Cur],USD_NAME,PMRQ[Date],"&gt;="&amp;DTB,PMRQ[Date],"&lt;="&amp;DTE))</f>
        <v>0</v>
      </c>
      <c r="M20" s="6">
        <f>USD_PMRQ-USD_PMRQFILE</f>
        <v>100</v>
      </c>
    </row>
    <row r="21" spans="2:13" customFormat="1" outlineLevel="1" x14ac:dyDescent="0.25">
      <c r="B21" s="9">
        <f>SUMIFS(MsDailyTable[Debit/Credit],MsDailyTable[Currency],EUR_NAME,MsDailyTable[Report],"&lt;&gt;")</f>
        <v>-261074.9</v>
      </c>
      <c r="C21" s="9">
        <f>SUMIFS(Activity[Total],Activity[Currency],EUR_NAME,Activity[Regulated],FALSE)</f>
        <v>0</v>
      </c>
      <c r="D21" s="9">
        <f>EUR_REPORT-EUR_REPORTFILE</f>
        <v>-261074.9</v>
      </c>
      <c r="F21" s="9">
        <f>SUMIFS(MsDailyTable[Debit/Credit],MsDailyTable[Currency],EUR_NAME,MsDailyTable[Report],"=",MsDailyTable[PMRQ],"=",MsDailyTable[TrType],"Other")</f>
        <v>0</v>
      </c>
      <c r="G21" s="9">
        <f>SUMIFS(MsDailyTable[Charges],MsDailyTable[Currency],EUR_NAME)</f>
        <v>0</v>
      </c>
      <c r="H21" s="9">
        <f>SUMIFS(MsDailyTable[Debit/Credit],MsDailyTable[Currency],EUR_NAME,MsDailyTable[Report],"=",MsDailyTable[PMRQ],"=",MsDailyTable[TrType],"LSB")</f>
        <v>0</v>
      </c>
      <c r="I21" s="9">
        <f>SUMIFS(MsDailyTable[Debit/Credit],MsDailyTable[Currency],EUR_NAME,MsDailyTable[Report],"=",MsDailyTable[PMRQ],"=",MsDailyTable[TrType],"Admin/Infrastructure")</f>
        <v>0</v>
      </c>
      <c r="J21" s="1"/>
      <c r="K21" s="9">
        <f>SUMIFS(MsDailyTable[Debit/Credit],MsDailyTable[Currency],EUR_NAME,MsDailyTable[PMRQ],"&lt;&gt;")</f>
        <v>0</v>
      </c>
      <c r="L21" s="9">
        <f>-1*IF(DTE="",SUMIFS(PMRQ[SUM],PMRQ[Cur],EUR_NAME,PMRQ[Date],DTB),SUMIFS(PMRQ[SUM],PMRQ[Cur],EUR_NAME,PMRQ[Date],"&gt;="&amp;DTB,PMRQ[Date],"&lt;="&amp;DTE))</f>
        <v>0</v>
      </c>
      <c r="M21" s="9">
        <f>EUR_PMRQ-EUR_PMRQFILE</f>
        <v>0</v>
      </c>
    </row>
    <row r="22" spans="2:13" customFormat="1" outlineLevel="1" x14ac:dyDescent="0.25">
      <c r="B22" s="37">
        <f>SUMIFS(MsDailyTable[Debit/Credit],MsDailyTable[Currency],GBP_NAME,MsDailyTable[Report],"&lt;&gt;")</f>
        <v>0</v>
      </c>
      <c r="C22" s="37">
        <f>SUMIFS(Activity[Total],Activity[Currency],GBP_NAME,Activity[Regulated],FALSE)</f>
        <v>0</v>
      </c>
      <c r="D22" s="37">
        <f>GBP_REPORT-GBP_REPORTFILE</f>
        <v>0</v>
      </c>
      <c r="F22" s="37">
        <f>SUMIFS(MsDailyTable[Debit/Credit],MsDailyTable[Currency],GBP_NAME,MsDailyTable[Report],"=",MsDailyTable[PMRQ],"=",MsDailyTable[TrType],"Other")</f>
        <v>0</v>
      </c>
      <c r="G22" s="37">
        <f>SUMIFS(MsDailyTable[Charges],MsDailyTable[Currency],GBP_NAME)</f>
        <v>0</v>
      </c>
      <c r="H22" s="37">
        <f>SUMIFS(MsDailyTable[Debit/Credit],MsDailyTable[Currency],GBP_NAME,MsDailyTable[Report],"=",MsDailyTable[PMRQ],"=",MsDailyTable[TrType],"LSB")</f>
        <v>0</v>
      </c>
      <c r="I22" s="37">
        <f>SUMIFS(MsDailyTable[Debit/Credit],MsDailyTable[Currency],GBP_NAME,MsDailyTable[Report],"=",MsDailyTable[PMRQ],"=",MsDailyTable[TrType],"Admin/Infrastructure")</f>
        <v>0</v>
      </c>
      <c r="J22" s="1"/>
      <c r="K22" s="37">
        <f>SUMIFS(MsDailyTable[Debit/Credit],MsDailyTable[Currency],GBP_NAME,MsDailyTable[PMRQ],"&lt;&gt;")</f>
        <v>0</v>
      </c>
      <c r="L22" s="37">
        <f>-1*IF(DTE="",SUMIFS(PMRQ[SUM],PMRQ[Cur],GBP_NAME,PMRQ[Date],DTB),SUMIFS(PMRQ[SUM],PMRQ[Cur],GBP_NAME,PMRQ[Date],"&gt;="&amp;DTB,PMRQ[Date],"&lt;="&amp;DTE))</f>
        <v>0</v>
      </c>
      <c r="M22" s="37">
        <f>GBP_PMRQ-GBP_PMRQFILE</f>
        <v>0</v>
      </c>
    </row>
    <row r="23" spans="2:13" customFormat="1" outlineLevel="1" x14ac:dyDescent="0.25">
      <c r="B23" s="39">
        <f>SUMIFS(MsDailyTable[Debit/Credit],MsDailyTable[Currency],CHF_NAME,MsDailyTable[Report],"&lt;&gt;")</f>
        <v>1</v>
      </c>
      <c r="C23" s="39">
        <f>SUMIFS(Activity[Total],Activity[Currency],CHF_NAME,Activity[Regulated],FALSE)</f>
        <v>0</v>
      </c>
      <c r="D23" s="39">
        <f>CHF_REPORT-CHF_REPORTFILE</f>
        <v>1</v>
      </c>
      <c r="F23" s="39">
        <f>SUMIFS(MsDailyTable[Debit/Credit],MsDailyTable[Currency],CHF_NAME,MsDailyTable[Report],"=",MsDailyTable[PMRQ],"=",MsDailyTable[TrType],"Other")</f>
        <v>0</v>
      </c>
      <c r="G23" s="39">
        <f>SUMIFS(MsDailyTable[Charges],MsDailyTable[Currency],CHF_NAME)</f>
        <v>0</v>
      </c>
      <c r="H23" s="39">
        <f>SUMIFS(MsDailyTable[Debit/Credit],MsDailyTable[Currency],CHF_NAME,MsDailyTable[Report],"=",MsDailyTable[PMRQ],"=",MsDailyTable[TrType],"LSB")</f>
        <v>0</v>
      </c>
      <c r="I23" s="39">
        <f>SUMIFS(MsDailyTable[Debit/Credit],MsDailyTable[Currency],CHF_NAME,MsDailyTable[Report],"=",MsDailyTable[PMRQ],"=",MsDailyTable[TrType],"Admin/Infrastructure")</f>
        <v>0</v>
      </c>
      <c r="J23" s="1"/>
      <c r="K23" s="39">
        <f>SUMIFS(MsDailyTable[Debit/Credit],MsDailyTable[Currency],CHF_NAME,MsDailyTable[PMRQ],"&lt;&gt;")</f>
        <v>1</v>
      </c>
      <c r="L23" s="39">
        <f>-1*IF(DTE="",SUMIFS(PMRQ[SUM],PMRQ[Cur],CHF_NAME,PMRQ[Date],DTB),SUMIFS(PMRQ[SUM],PMRQ[Cur],CHF_NAME,PMRQ[Date],"&gt;="&amp;DTB,PMRQ[Date],"&lt;="&amp;DTE))</f>
        <v>0</v>
      </c>
      <c r="M23" s="39">
        <f>CHF_PMRQ-CHF_PMRQFILE</f>
        <v>1</v>
      </c>
    </row>
    <row r="24" spans="2:13" customFormat="1" outlineLevel="1" x14ac:dyDescent="0.25">
      <c r="F24" s="1"/>
      <c r="G24" s="1"/>
      <c r="H24" s="1"/>
      <c r="J24" s="1"/>
      <c r="K24" s="45"/>
      <c r="L24" s="46">
        <f>-1*IF(DTE="",SUMIFS(PMRQ[SUM],PMRQ[Cur],AED_NAME,PMRQ[Date],DTB),SUMIFS(PMRQ[SUM],PMRQ[Cur],AED_NAME,PMRQ[Date],"&gt;="&amp;DTB,PMRQ[Date],"&lt;="&amp;DTE))</f>
        <v>0</v>
      </c>
      <c r="M24" s="45"/>
    </row>
    <row r="26" spans="2:13" ht="23.25" customHeight="1" x14ac:dyDescent="0.25">
      <c r="B26" s="21" t="s">
        <v>8</v>
      </c>
      <c r="C26" s="22" t="s">
        <v>17</v>
      </c>
      <c r="D26" s="22" t="s">
        <v>0</v>
      </c>
      <c r="E26" s="22" t="s">
        <v>6</v>
      </c>
      <c r="F26" s="22" t="s">
        <v>5</v>
      </c>
      <c r="G26" s="22" t="s">
        <v>23</v>
      </c>
      <c r="H26" s="22" t="s">
        <v>22</v>
      </c>
      <c r="I26" s="21" t="s">
        <v>16</v>
      </c>
      <c r="J26" s="21" t="s">
        <v>10</v>
      </c>
      <c r="K26" s="33" t="s">
        <v>24</v>
      </c>
      <c r="L26" s="33" t="s">
        <v>25</v>
      </c>
      <c r="M26" s="33" t="s">
        <v>44</v>
      </c>
    </row>
    <row r="27" spans="2:13" ht="18.75" x14ac:dyDescent="0.3">
      <c r="B27" s="20">
        <v>0</v>
      </c>
      <c r="C27" s="17" t="s">
        <v>13</v>
      </c>
      <c r="D27" s="23" t="s">
        <v>2</v>
      </c>
      <c r="E27" s="18"/>
      <c r="F27" s="35"/>
      <c r="G27" s="19">
        <v>-261074.9</v>
      </c>
      <c r="H27" s="19"/>
      <c r="I27" s="20">
        <v>-427044.12</v>
      </c>
      <c r="J27" s="34">
        <v>-427044.12</v>
      </c>
      <c r="K27" s="36" t="s">
        <v>26</v>
      </c>
      <c r="L27" s="23"/>
      <c r="M27" s="49"/>
    </row>
    <row r="28" spans="2:13" ht="18.75" x14ac:dyDescent="0.3">
      <c r="B28" s="20">
        <v>0</v>
      </c>
      <c r="C28" s="17" t="s">
        <v>13</v>
      </c>
      <c r="D28" s="23" t="s">
        <v>4</v>
      </c>
      <c r="E28" s="18"/>
      <c r="F28" s="35"/>
      <c r="G28" s="19">
        <v>200</v>
      </c>
      <c r="H28" s="19"/>
      <c r="I28" s="20">
        <v>200</v>
      </c>
      <c r="J28" s="34">
        <v>200</v>
      </c>
      <c r="K28" s="36"/>
      <c r="L28" s="23"/>
      <c r="M28" s="48"/>
    </row>
    <row r="29" spans="2:13" ht="18.75" x14ac:dyDescent="0.3">
      <c r="B29" s="20">
        <v>0</v>
      </c>
      <c r="C29" s="17" t="s">
        <v>13</v>
      </c>
      <c r="D29" s="23" t="s">
        <v>1</v>
      </c>
      <c r="E29" s="18"/>
      <c r="F29" s="35"/>
      <c r="G29" s="19">
        <v>1</v>
      </c>
      <c r="H29" s="19"/>
      <c r="I29" s="20">
        <v>0</v>
      </c>
      <c r="J29" s="34">
        <v>1</v>
      </c>
      <c r="K29" s="36" t="s">
        <v>27</v>
      </c>
      <c r="L29" s="36">
        <v>88</v>
      </c>
      <c r="M29" s="48"/>
    </row>
    <row r="30" spans="2:13" ht="18.75" x14ac:dyDescent="0.3">
      <c r="B30" s="20"/>
      <c r="C30" s="17"/>
      <c r="D30" s="23"/>
      <c r="E30" s="18"/>
      <c r="F30" s="35"/>
      <c r="G30" s="19"/>
      <c r="H30" s="19"/>
      <c r="I30" s="20"/>
      <c r="J30" s="34"/>
      <c r="K30" s="23"/>
      <c r="L30" s="23"/>
      <c r="M30" s="48"/>
    </row>
    <row r="31" spans="2:13" ht="18.75" x14ac:dyDescent="0.3">
      <c r="B31" s="20">
        <v>149912.43</v>
      </c>
      <c r="C31" s="17" t="s">
        <v>14</v>
      </c>
      <c r="D31" s="23" t="s">
        <v>4</v>
      </c>
      <c r="E31" s="18"/>
      <c r="F31" s="35"/>
      <c r="G31" s="19">
        <v>-100</v>
      </c>
      <c r="H31" s="19"/>
      <c r="I31" s="20">
        <v>-100</v>
      </c>
      <c r="J31" s="34">
        <v>149812.43</v>
      </c>
      <c r="K31" s="23"/>
      <c r="L31" s="23"/>
      <c r="M31" s="48"/>
    </row>
    <row r="32" spans="2:13" ht="18.75" x14ac:dyDescent="0.3">
      <c r="B32" s="20"/>
      <c r="C32" s="17"/>
      <c r="D32" s="23"/>
      <c r="E32" s="18"/>
      <c r="F32" s="35"/>
      <c r="G32" s="19"/>
      <c r="H32" s="19"/>
      <c r="I32" s="20"/>
      <c r="J32" s="34"/>
      <c r="K32" s="23"/>
      <c r="L32" s="23"/>
      <c r="M32" s="48"/>
    </row>
    <row r="33" spans="2:13" ht="18.75" x14ac:dyDescent="0.3">
      <c r="B33" s="20">
        <v>51352.54</v>
      </c>
      <c r="C33" s="17" t="s">
        <v>15</v>
      </c>
      <c r="D33" s="23" t="s">
        <v>3</v>
      </c>
      <c r="E33" s="18"/>
      <c r="F33" s="35" t="s">
        <v>7</v>
      </c>
      <c r="G33" s="19">
        <v>100</v>
      </c>
      <c r="H33" s="19"/>
      <c r="I33" s="20">
        <v>-49407.49</v>
      </c>
      <c r="J33" s="34">
        <v>1945.05</v>
      </c>
      <c r="K33" s="36"/>
      <c r="L33" s="23">
        <v>55</v>
      </c>
      <c r="M33" s="48"/>
    </row>
    <row r="34" spans="2:13" ht="18.75" x14ac:dyDescent="0.3">
      <c r="B34" s="20">
        <v>2602.88</v>
      </c>
      <c r="C34" s="17" t="s">
        <v>15</v>
      </c>
      <c r="D34" s="23" t="s">
        <v>2</v>
      </c>
      <c r="E34" s="18"/>
      <c r="F34" s="35" t="s">
        <v>7</v>
      </c>
      <c r="G34" s="19">
        <v>161796.53</v>
      </c>
      <c r="H34" s="19"/>
      <c r="I34" s="20">
        <v>-391.47</v>
      </c>
      <c r="J34" s="34">
        <v>2211.41</v>
      </c>
      <c r="K34" s="23"/>
      <c r="L34" s="23"/>
      <c r="M34" s="48"/>
    </row>
    <row r="35" spans="2:13" ht="18.75" x14ac:dyDescent="0.3">
      <c r="B35" s="20">
        <v>0</v>
      </c>
      <c r="C35" s="17" t="s">
        <v>15</v>
      </c>
      <c r="D35" s="23" t="s">
        <v>1</v>
      </c>
      <c r="E35" s="18"/>
      <c r="F35" s="35" t="s">
        <v>7</v>
      </c>
      <c r="G35" s="19"/>
      <c r="H35" s="19"/>
      <c r="I35" s="20">
        <v>0</v>
      </c>
      <c r="J35" s="34">
        <v>0</v>
      </c>
      <c r="K35" s="23"/>
      <c r="L35" s="23"/>
      <c r="M35" s="50"/>
    </row>
  </sheetData>
  <conditionalFormatting sqref="D3 B27:M35">
    <cfRule type="expression" dxfId="4" priority="6">
      <formula>$D3=""</formula>
    </cfRule>
    <cfRule type="expression" dxfId="3" priority="7">
      <formula>$D3="CHF"</formula>
    </cfRule>
    <cfRule type="expression" dxfId="2" priority="8">
      <formula>$D3="GBP"</formula>
    </cfRule>
    <cfRule type="expression" dxfId="1" priority="9">
      <formula>$D3="EUR"</formula>
    </cfRule>
    <cfRule type="expression" dxfId="0" priority="10">
      <formula>$D3="USD"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3"/>
  <sheetViews>
    <sheetView workbookViewId="0">
      <selection activeCell="C2" sqref="C2"/>
    </sheetView>
  </sheetViews>
  <sheetFormatPr defaultRowHeight="15" x14ac:dyDescent="0.25"/>
  <cols>
    <col min="2" max="2" width="10.140625" bestFit="1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</cols>
  <sheetData>
    <row r="2" spans="2:6" x14ac:dyDescent="0.25">
      <c r="B2" s="40" t="s">
        <v>28</v>
      </c>
      <c r="C2" s="40" t="s">
        <v>17</v>
      </c>
      <c r="D2" s="40" t="s">
        <v>0</v>
      </c>
      <c r="E2" s="40" t="s">
        <v>29</v>
      </c>
      <c r="F2" s="40" t="s">
        <v>30</v>
      </c>
    </row>
    <row r="3" spans="2:6" x14ac:dyDescent="0.25">
      <c r="B3" s="41"/>
      <c r="E3" s="4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3"/>
  <sheetViews>
    <sheetView workbookViewId="0">
      <selection activeCell="C2" sqref="C2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</cols>
  <sheetData>
    <row r="2" spans="2:11" x14ac:dyDescent="0.25">
      <c r="B2" t="s">
        <v>33</v>
      </c>
      <c r="C2" t="s">
        <v>28</v>
      </c>
      <c r="D2" t="s">
        <v>17</v>
      </c>
      <c r="E2" t="s">
        <v>34</v>
      </c>
      <c r="F2" t="s">
        <v>35</v>
      </c>
      <c r="G2" t="s">
        <v>36</v>
      </c>
      <c r="H2" t="s">
        <v>37</v>
      </c>
      <c r="I2" t="s">
        <v>5</v>
      </c>
      <c r="J2" t="s">
        <v>45</v>
      </c>
      <c r="K2" t="s">
        <v>41</v>
      </c>
    </row>
    <row r="3" spans="2:11" x14ac:dyDescent="0.25">
      <c r="C3" s="41"/>
      <c r="G3" s="4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84</vt:i4>
      </vt:variant>
    </vt:vector>
  </HeadingPairs>
  <TitlesOfParts>
    <vt:vector size="87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CHF_CHARGES</vt:lpstr>
      <vt:lpstr>CHF_DELTA_REPORT</vt:lpstr>
      <vt:lpstr>CHF_LSB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DELTA_PMRQ</vt:lpstr>
      <vt:lpstr>DELTA_REPORT</vt:lpstr>
      <vt:lpstr>DTB</vt:lpstr>
      <vt:lpstr>DTE</vt:lpstr>
      <vt:lpstr>EUR_ADMIN</vt:lpstr>
      <vt:lpstr>EUR_CHARGES</vt:lpstr>
      <vt:lpstr>EUR_DELTA_REPORT</vt:lpstr>
      <vt:lpstr>EUR_LSB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GBP_ADMIN</vt:lpstr>
      <vt:lpstr>GBP_CHARGES</vt:lpstr>
      <vt:lpstr>GBP_DELTA_REPORT</vt:lpstr>
      <vt:lpstr>GBP_LSB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USD_CHARGES</vt:lpstr>
      <vt:lpstr>USD_DELTA_REPORT</vt:lpstr>
      <vt:lpstr>USD_LSB</vt:lpstr>
      <vt:lpstr>USD_NAME</vt:lpstr>
      <vt:lpstr>USD_OTHER</vt:lpstr>
      <vt:lpstr>USD_PMRQ</vt:lpstr>
      <vt:lpstr>USD_PMRQFILE</vt:lpstr>
      <vt:lpstr>USD_REPORT</vt:lpstr>
      <vt:lpstr>USD_REPORTFILE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2018-04-23T17:10:05Z</dcterms:modified>
</cp:coreProperties>
</file>