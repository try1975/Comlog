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-915" yWindow="225" windowWidth="19425" windowHeight="10140"/>
  </bookViews>
  <sheets>
    <sheet name="MS_Daily" sheetId="3" r:id="rId1"/>
    <sheet name="Activity" sheetId="7" r:id="rId2"/>
    <sheet name="PMRQ" sheetId="8" r:id="rId3"/>
  </sheets>
  <functionGroups builtInGroupCount="18"/>
  <definedNames>
    <definedName name="ACTIVITY_CHF">MS_Daily!$F$16</definedName>
    <definedName name="ACTIVITY_CHF_USD">MS_Daily!$F$6</definedName>
    <definedName name="ACTIVITY_EUR">MS_Daily!$F$14</definedName>
    <definedName name="ACTIVITY_EUR_USD">MS_Daily!$F$4</definedName>
    <definedName name="ACTIVITY_GBP">MS_Daily!$F$15</definedName>
    <definedName name="ACTIVITY_GBP_USD">MS_Daily!$F$5</definedName>
    <definedName name="ACTIVITY_HKD">MS_Daily!#REF!</definedName>
    <definedName name="ACTIVITY_HKD_USD">MS_Daily!#REF!</definedName>
    <definedName name="ACTIVITY_USD">MS_Daily!$F$13</definedName>
    <definedName name="ACTIVITY_USD_USD">MS_Daily!$F$3</definedName>
    <definedName name="AED_NAME">MS_Daily!$D$7</definedName>
    <definedName name="AED_PMRQFILE">MS_Daily!$L$25</definedName>
    <definedName name="AED_RATE">MS_Daily!$I$7</definedName>
    <definedName name="ALL_PMRQ">MS_Daily!$K$19</definedName>
    <definedName name="ALL_PMRQFILE">MS_Daily!$L$19</definedName>
    <definedName name="ALL_REPORT">MS_Daily!$K$11</definedName>
    <definedName name="ALL_REPORTFILE">MS_Daily!$L$11</definedName>
    <definedName name="BALANCE_CHF">MS_Daily!$G$16</definedName>
    <definedName name="BALANCE_CHF_USD">MS_Daily!$H$6</definedName>
    <definedName name="BALANCE_EUR">MS_Daily!$G$14</definedName>
    <definedName name="BALANCE_EUR_USD">MS_Daily!$H$4</definedName>
    <definedName name="BALANCE_GBP">MS_Daily!$G$15</definedName>
    <definedName name="BALANCE_GBP_USD">MS_Daily!$H$5</definedName>
    <definedName name="BALANCE_HKD">MS_Daily!#REF!</definedName>
    <definedName name="BALANCE_HKD_USD">MS_Daily!#REF!</definedName>
    <definedName name="BALANCE_USD">MS_Daily!$G$13</definedName>
    <definedName name="BALANCE_USD_USD">MS_Daily!$H$3</definedName>
    <definedName name="CHF_ADMIN">MS_Daily!$F$24</definedName>
    <definedName name="CHF_CASH">MS_Daily!$H$24</definedName>
    <definedName name="CHF_CHARGES">MS_Daily!$D$24</definedName>
    <definedName name="CHF_DELTA_REPORT">MS_Daily!$M$16</definedName>
    <definedName name="CHF_FX">MS_Daily!$G$24</definedName>
    <definedName name="CHF_LSB">MS_Daily!$E$24</definedName>
    <definedName name="CHF_MS">MS_Daily!$I$24</definedName>
    <definedName name="CHF_NAME">MS_Daily!$D$6</definedName>
    <definedName name="CHF_OTHER">MS_Daily!$C$24</definedName>
    <definedName name="CHF_PMRQ">MS_Daily!$K$24</definedName>
    <definedName name="CHF_PMRQFILE">MS_Daily!$L$24</definedName>
    <definedName name="CHF_RATE">MS_Daily!$I$6</definedName>
    <definedName name="CHF_RATE_P">MS_Daily!$C$6</definedName>
    <definedName name="CHF_REPORT">MS_Daily!$K$16</definedName>
    <definedName name="CHF_REPORTFILE">MS_Daily!$L$16</definedName>
    <definedName name="CHF_RP">MS_Daily!$B$24</definedName>
    <definedName name="DELTA_PMRQ">MS_Daily!$M$19</definedName>
    <definedName name="DELTA_REPORT">MS_Daily!$M$11</definedName>
    <definedName name="DTB">MS_Daily!$B$1</definedName>
    <definedName name="DTE">MS_Daily!$C$1</definedName>
    <definedName name="EUR_ADMIN">MS_Daily!$F$22</definedName>
    <definedName name="EUR_CASH">MS_Daily!$H$22</definedName>
    <definedName name="EUR_CHARGES">MS_Daily!$D$22</definedName>
    <definedName name="EUR_DELTA_REPORT">MS_Daily!$M$14</definedName>
    <definedName name="EUR_FX">MS_Daily!$G$22</definedName>
    <definedName name="EUR_LSB">MS_Daily!$E$22</definedName>
    <definedName name="EUR_MS">MS_Daily!$I$22</definedName>
    <definedName name="EUR_NAME">MS_Daily!$D$4</definedName>
    <definedName name="EUR_OTHER">MS_Daily!$C$22</definedName>
    <definedName name="EUR_PMRQ">MS_Daily!$K$22</definedName>
    <definedName name="EUR_PMRQFILE">MS_Daily!$L$22</definedName>
    <definedName name="EUR_RATE">MS_Daily!$I$4</definedName>
    <definedName name="EUR_RATE_P">MS_Daily!$C$4</definedName>
    <definedName name="EUR_REPORT">MS_Daily!$K$14</definedName>
    <definedName name="EUR_REPORTFILE">MS_Daily!$L$14</definedName>
    <definedName name="EUR_RP">MS_Daily!$B$22</definedName>
    <definedName name="GBP_ADMIN">MS_Daily!$F$23</definedName>
    <definedName name="GBP_CASH">MS_Daily!$H$23</definedName>
    <definedName name="GBP_CHARGES">MS_Daily!$D$23</definedName>
    <definedName name="GBP_DELTA_REPORT">MS_Daily!$M$15</definedName>
    <definedName name="GBP_FX">MS_Daily!$G$23</definedName>
    <definedName name="GBP_LSB">MS_Daily!$E$23</definedName>
    <definedName name="GBP_MS">MS_Daily!$I$23</definedName>
    <definedName name="GBP_NAME">MS_Daily!$D$5</definedName>
    <definedName name="GBP_OTHER">MS_Daily!$C$23</definedName>
    <definedName name="GBP_PMRQ">MS_Daily!$K$23</definedName>
    <definedName name="GBP_PMRQFILE">MS_Daily!$L$23</definedName>
    <definedName name="GBP_RATE">MS_Daily!$I$5</definedName>
    <definedName name="GBP_RATE_P">MS_Daily!$C$5</definedName>
    <definedName name="GBP_REPORT">MS_Daily!$K$15</definedName>
    <definedName name="GBP_REPORTFILE">MS_Daily!$L$15</definedName>
    <definedName name="GBP_RP">MS_Daily!$B$23</definedName>
    <definedName name="HKD_DELTA_REPORT">MS_Daily!#REF!</definedName>
    <definedName name="HKD_NAME">MS_Daily!#REF!</definedName>
    <definedName name="HKD_PMRQ">MS_Daily!#REF!</definedName>
    <definedName name="HKD_PMRQFILE">MS_Daily!#REF!</definedName>
    <definedName name="HKD_RATE">MS_Daily!#REF!</definedName>
    <definedName name="HKD_RATE_P">MS_Daily!#REF!</definedName>
    <definedName name="HKD_REPORT">MS_Daily!#REF!</definedName>
    <definedName name="HKD_REPORTFILE">MS_Daily!#REF!</definedName>
    <definedName name="PREV_CHF">MS_Daily!$E$16</definedName>
    <definedName name="PREV_CHF_USD">MS_Daily!$E$6</definedName>
    <definedName name="PREV_EUR">MS_Daily!$E$14</definedName>
    <definedName name="PREV_EUR_USD">MS_Daily!$E$4</definedName>
    <definedName name="PREV_GBP">MS_Daily!$E$15</definedName>
    <definedName name="PREV_GBP_USD">MS_Daily!$E$5</definedName>
    <definedName name="PREV_HKD">MS_Daily!#REF!</definedName>
    <definedName name="PREV_HKD_USD">MS_Daily!#REF!</definedName>
    <definedName name="PREV_USD">MS_Daily!$E$13</definedName>
    <definedName name="PREV_USD_USD">MS_Daily!$E$3</definedName>
    <definedName name="RATE_CHF_USD">MS_Daily!$G$6</definedName>
    <definedName name="RATE_EUR_USD">MS_Daily!$G$4</definedName>
    <definedName name="RATE_GBP_USD">MS_Daily!$G$5</definedName>
    <definedName name="RATE_HKD_USD">MS_Daily!#REF!</definedName>
    <definedName name="USD_ADMIN">MS_Daily!$F$21</definedName>
    <definedName name="USD_CASH">MS_Daily!$H$21</definedName>
    <definedName name="USD_CHARGES">MS_Daily!$D$21</definedName>
    <definedName name="USD_DELTA_REPORT">MS_Daily!$M$13</definedName>
    <definedName name="USD_FX">MS_Daily!$G$21</definedName>
    <definedName name="USD_LSB">MS_Daily!$E$21</definedName>
    <definedName name="USD_MS">MS_Daily!$I$21</definedName>
    <definedName name="USD_NAME">MS_Daily!$D$3</definedName>
    <definedName name="USD_OTHER">MS_Daily!$C$21</definedName>
    <definedName name="USD_PMRQ">MS_Daily!$K$21</definedName>
    <definedName name="USD_PMRQFILE">MS_Daily!$L$21</definedName>
    <definedName name="USD_REPORT">MS_Daily!$K$13</definedName>
    <definedName name="USD_REPORTFILE">MS_Daily!$L$13</definedName>
    <definedName name="USD_RP">MS_Daily!$B$21</definedName>
  </definedNames>
  <calcPr calcId="152511"/>
  <fileRecoveryPr autoRecover="0"/>
</workbook>
</file>

<file path=xl/calcChain.xml><?xml version="1.0" encoding="utf-8"?>
<calcChain xmlns="http://schemas.openxmlformats.org/spreadsheetml/2006/main">
  <c r="K13" i="3" l="1"/>
  <c r="L13" i="3"/>
  <c r="K14" i="3"/>
  <c r="L14" i="3"/>
  <c r="K15" i="3"/>
  <c r="L15" i="3"/>
  <c r="K16" i="3"/>
  <c r="L16" i="3"/>
  <c r="K21" i="3"/>
  <c r="L21" i="3"/>
  <c r="K22" i="3"/>
  <c r="L22" i="3"/>
  <c r="B24" i="3"/>
  <c r="B23" i="3"/>
  <c r="B22" i="3"/>
  <c r="M16" i="3" l="1"/>
  <c r="M15" i="3"/>
  <c r="M22" i="3"/>
  <c r="M14" i="3"/>
  <c r="L11" i="3"/>
  <c r="K11" i="3"/>
  <c r="M11" i="3" s="1"/>
  <c r="M13" i="3"/>
  <c r="M21" i="3"/>
  <c r="B21" i="3"/>
  <c r="C24" i="3"/>
  <c r="C23" i="3"/>
  <c r="C22" i="3"/>
  <c r="C21" i="3"/>
  <c r="B19" i="3" l="1"/>
  <c r="I24" i="3"/>
  <c r="I23" i="3"/>
  <c r="I22" i="3"/>
  <c r="I21" i="3"/>
  <c r="H24" i="3"/>
  <c r="H23" i="3"/>
  <c r="H22" i="3"/>
  <c r="H21" i="3"/>
  <c r="G24" i="3"/>
  <c r="G23" i="3"/>
  <c r="G22" i="3"/>
  <c r="G21" i="3"/>
  <c r="F24" i="3"/>
  <c r="F23" i="3"/>
  <c r="F22" i="3"/>
  <c r="F21" i="3"/>
  <c r="G19" i="3" l="1"/>
  <c r="I19" i="3"/>
  <c r="H19" i="3"/>
  <c r="E24" i="3"/>
  <c r="D24" i="3"/>
  <c r="E23" i="3"/>
  <c r="D23" i="3"/>
  <c r="E22" i="3"/>
  <c r="D22" i="3"/>
  <c r="E21" i="3"/>
  <c r="D21" i="3"/>
  <c r="C19" i="3" l="1"/>
  <c r="D19" i="3"/>
  <c r="F19" i="3"/>
  <c r="E19" i="3"/>
  <c r="L25" i="3"/>
  <c r="L24" i="3" l="1"/>
  <c r="L23" i="3"/>
  <c r="L19" i="3" l="1"/>
  <c r="E16" i="3"/>
  <c r="E6" i="3" s="1"/>
  <c r="E15" i="3"/>
  <c r="E5" i="3" s="1"/>
  <c r="E14" i="3"/>
  <c r="E4" i="3" s="1"/>
  <c r="E13" i="3"/>
  <c r="E3" i="3" s="1"/>
  <c r="G16" i="3"/>
  <c r="H6" i="3" s="1"/>
  <c r="G15" i="3"/>
  <c r="I15" i="3" s="1"/>
  <c r="G14" i="3"/>
  <c r="H4" i="3" s="1"/>
  <c r="G13" i="3"/>
  <c r="H3" i="3" s="1"/>
  <c r="E2" i="3" l="1"/>
  <c r="I14" i="3"/>
  <c r="I13" i="3"/>
  <c r="F16" i="3"/>
  <c r="F6" i="3" s="1"/>
  <c r="G6" i="3" s="1"/>
  <c r="F15" i="3"/>
  <c r="F5" i="3" s="1"/>
  <c r="H5" i="3"/>
  <c r="H2" i="3" s="1"/>
  <c r="F14" i="3"/>
  <c r="F4" i="3" s="1"/>
  <c r="G4" i="3" s="1"/>
  <c r="F13" i="3"/>
  <c r="F3" i="3" s="1"/>
  <c r="F2" i="3" l="1"/>
  <c r="G5" i="3"/>
  <c r="G2" i="3" s="1"/>
  <c r="K24" i="3" l="1"/>
  <c r="M24" i="3" s="1"/>
  <c r="K23" i="3"/>
  <c r="M23" i="3" l="1"/>
  <c r="K19" i="3"/>
  <c r="M19" i="3" s="1"/>
</calcChain>
</file>

<file path=xl/sharedStrings.xml><?xml version="1.0" encoding="utf-8"?>
<sst xmlns="http://schemas.openxmlformats.org/spreadsheetml/2006/main" count="88" uniqueCount="63">
  <si>
    <t>Currency</t>
  </si>
  <si>
    <t>CHF</t>
  </si>
  <si>
    <t>EUR</t>
  </si>
  <si>
    <t>USD</t>
  </si>
  <si>
    <t>GBP</t>
  </si>
  <si>
    <t>Description</t>
  </si>
  <si>
    <t>FromTo</t>
  </si>
  <si>
    <t/>
  </si>
  <si>
    <t>PREVIOUS</t>
  </si>
  <si>
    <t>ACTIVITY</t>
  </si>
  <si>
    <t>BALANCE</t>
  </si>
  <si>
    <t>PENDING</t>
  </si>
  <si>
    <t>TOTAL</t>
  </si>
  <si>
    <t>TEST</t>
  </si>
  <si>
    <t>TEST2</t>
  </si>
  <si>
    <t>TEST3</t>
  </si>
  <si>
    <t>Σ activity by curr.</t>
  </si>
  <si>
    <t>Bank</t>
  </si>
  <si>
    <t>PREVIOUS $</t>
  </si>
  <si>
    <t>ACTIVITY $</t>
  </si>
  <si>
    <t>BALANCE $</t>
  </si>
  <si>
    <t>RATE $</t>
  </si>
  <si>
    <t>Charges</t>
  </si>
  <si>
    <t>Debit/Credit</t>
  </si>
  <si>
    <t>Report</t>
  </si>
  <si>
    <t>PMRQ</t>
  </si>
  <si>
    <t>y</t>
  </si>
  <si>
    <t>lb</t>
  </si>
  <si>
    <t>Date</t>
  </si>
  <si>
    <t>Total</t>
  </si>
  <si>
    <t>Regulated</t>
  </si>
  <si>
    <t>Report $</t>
  </si>
  <si>
    <t>PMRQ $</t>
  </si>
  <si>
    <t>№</t>
  </si>
  <si>
    <t>Account</t>
  </si>
  <si>
    <t>Cur</t>
  </si>
  <si>
    <t>SUM</t>
  </si>
  <si>
    <t>Beneficiary</t>
  </si>
  <si>
    <t>AED</t>
  </si>
  <si>
    <t>Comlog $</t>
  </si>
  <si>
    <t>Comlog</t>
  </si>
  <si>
    <t>Check</t>
  </si>
  <si>
    <t>TrType</t>
  </si>
  <si>
    <t>STATUS(MS)</t>
  </si>
  <si>
    <t>Δ Report $</t>
  </si>
  <si>
    <t>Δ Report</t>
  </si>
  <si>
    <t>Δ PMRQ $</t>
  </si>
  <si>
    <t>Δ PMRQ</t>
  </si>
  <si>
    <t>Charges $</t>
  </si>
  <si>
    <t>LSB $</t>
  </si>
  <si>
    <t>LSB</t>
  </si>
  <si>
    <t>Empty $</t>
  </si>
  <si>
    <t>Empty</t>
  </si>
  <si>
    <t>Intercompany $</t>
  </si>
  <si>
    <t>Intercompany</t>
  </si>
  <si>
    <t>FX $</t>
  </si>
  <si>
    <t>FX</t>
  </si>
  <si>
    <t>Cash $</t>
  </si>
  <si>
    <t>Cash</t>
  </si>
  <si>
    <t>MS $</t>
  </si>
  <si>
    <t>MS</t>
  </si>
  <si>
    <t>Report &amp; PMRQ $</t>
  </si>
  <si>
    <t>Report &amp; PMRQ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</si>
</sst>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#,##0_ ;[Red]\-#,##0\ "/>
    <numFmt numFmtId="165" formatCode="[$$-409]#,##0.00_ ;[Red]\-[$$-409]#,##0.00\ "/>
    <numFmt numFmtId="166" formatCode="[$HKD]\ #,##0.00;[Red]\-[$HKD]\ #,##0.00"/>
    <numFmt numFmtId="167" formatCode="[$-409]d\-mmm\-yy;@"/>
    <numFmt numFmtId="168" formatCode="[$€-1809]#,##0.00;[Red]\-[$€-1809]#,##0.00"/>
    <numFmt numFmtId="169" formatCode="&quot;£ &quot;#,##0.00;[Red]\-&quot;£ &quot;#,##0.00"/>
    <numFmt numFmtId="170" formatCode="[$CHF]\ #,##0.00;[Red]\-[$CHF]\ #,##0.00"/>
    <numFmt numFmtId="171" formatCode="#,##0.00000_р_.;[Red]\-#,##0.00000_р_."/>
    <numFmt numFmtId="172" formatCode="0.00000"/>
    <numFmt numFmtId="173" formatCode="#,##0.00_ ;[Red]\-#,##0.00\ "/>
    <numFmt numFmtId="174" formatCode="#,##0.00\ [$AED];[Red]\-#,##0.00\ [$AED]"/>
  </numFmts>
  <fonts count="16" x14ac:knownFonts="1"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b/>
      <sz val="12"/>
      <name val="Verdana"/>
      <family val="2"/>
      <charset val="204"/>
    </font>
    <font>
      <b/>
      <sz val="10"/>
      <color indexed="9"/>
      <name val="Verdana"/>
      <family val="2"/>
      <charset val="204"/>
    </font>
    <font>
      <b/>
      <sz val="10"/>
      <name val="Verdana"/>
      <family val="2"/>
      <charset val="204"/>
    </font>
    <font>
      <b/>
      <sz val="10"/>
      <color indexed="12"/>
      <name val="Verdana"/>
      <family val="2"/>
    </font>
    <font>
      <sz val="10"/>
      <name val="Verdana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14"/>
      <color rgb="FFFFFF0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0"/>
      <name val="Verdana"/>
      <family val="2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DE9D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1" fillId="0" borderId="0"/>
    <xf numFmtId="0" fontId="2" fillId="0" borderId="0"/>
  </cellStyleXfs>
  <cellXfs count="50">
    <xf numFmtId="0" fontId="0" fillId="0" borderId="0" xfId="0"/>
    <xf numFmtId="0" fontId="2" fillId="0" borderId="0" xfId="0" applyFont="1"/>
    <xf numFmtId="166" fontId="3" fillId="0" borderId="0" xfId="1" applyNumberFormat="1" applyFont="1" applyAlignment="1"/>
    <xf numFmtId="165" fontId="3" fillId="0" borderId="0" xfId="1" applyFont="1" applyAlignment="1"/>
    <xf numFmtId="167" fontId="4" fillId="3" borderId="0" xfId="0" applyNumberFormat="1" applyFont="1" applyFill="1" applyAlignment="1">
      <alignment horizontal="left" indent="1"/>
    </xf>
    <xf numFmtId="40" fontId="5" fillId="4" borderId="0" xfId="0" applyNumberFormat="1" applyFont="1" applyFill="1" applyAlignment="1">
      <alignment horizontal="center" vertical="center"/>
    </xf>
    <xf numFmtId="165" fontId="6" fillId="6" borderId="1" xfId="0" applyNumberFormat="1" applyFont="1" applyFill="1" applyBorder="1" applyAlignment="1">
      <alignment horizontal="right"/>
    </xf>
    <xf numFmtId="165" fontId="6" fillId="5" borderId="4" xfId="0" applyNumberFormat="1" applyFont="1" applyFill="1" applyBorder="1" applyAlignment="1">
      <alignment horizontal="right"/>
    </xf>
    <xf numFmtId="165" fontId="6" fillId="5" borderId="5" xfId="0" applyNumberFormat="1" applyFont="1" applyFill="1" applyBorder="1" applyAlignment="1">
      <alignment horizontal="right"/>
    </xf>
    <xf numFmtId="168" fontId="6" fillId="7" borderId="1" xfId="0" applyNumberFormat="1" applyFont="1" applyFill="1" applyBorder="1"/>
    <xf numFmtId="168" fontId="6" fillId="7" borderId="1" xfId="0" applyNumberFormat="1" applyFont="1" applyFill="1" applyBorder="1" applyAlignment="1">
      <alignment horizontal="right"/>
    </xf>
    <xf numFmtId="168" fontId="6" fillId="7" borderId="6" xfId="0" applyNumberFormat="1" applyFont="1" applyFill="1" applyBorder="1"/>
    <xf numFmtId="168" fontId="6" fillId="5" borderId="7" xfId="0" applyNumberFormat="1" applyFont="1" applyFill="1" applyBorder="1"/>
    <xf numFmtId="168" fontId="6" fillId="5" borderId="1" xfId="0" applyNumberFormat="1" applyFont="1" applyFill="1" applyBorder="1"/>
    <xf numFmtId="169" fontId="7" fillId="5" borderId="1" xfId="0" applyNumberFormat="1" applyFont="1" applyFill="1" applyBorder="1" applyAlignment="1">
      <alignment horizontal="right"/>
    </xf>
    <xf numFmtId="169" fontId="7" fillId="5" borderId="3" xfId="0" applyNumberFormat="1" applyFont="1" applyFill="1" applyBorder="1" applyAlignment="1">
      <alignment horizontal="right"/>
    </xf>
    <xf numFmtId="171" fontId="8" fillId="0" borderId="0" xfId="0" applyNumberFormat="1" applyFont="1" applyAlignment="1">
      <alignment horizontal="right"/>
    </xf>
    <xf numFmtId="0" fontId="2" fillId="0" borderId="3" xfId="0" applyFont="1" applyBorder="1"/>
    <xf numFmtId="0" fontId="2" fillId="0" borderId="1" xfId="0" applyFont="1" applyBorder="1"/>
    <xf numFmtId="164" fontId="2" fillId="0" borderId="1" xfId="0" applyNumberFormat="1" applyFont="1" applyBorder="1"/>
    <xf numFmtId="164" fontId="9" fillId="0" borderId="2" xfId="0" applyNumberFormat="1" applyFont="1" applyBorder="1" applyAlignment="1">
      <alignment horizontal="right" indent="1"/>
    </xf>
    <xf numFmtId="0" fontId="10" fillId="10" borderId="0" xfId="0" applyFont="1" applyFill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2" fillId="0" borderId="1" xfId="0" applyFont="1" applyBorder="1" applyAlignment="1">
      <alignment horizontal="center"/>
    </xf>
    <xf numFmtId="172" fontId="2" fillId="0" borderId="0" xfId="0" applyNumberFormat="1" applyFont="1"/>
    <xf numFmtId="165" fontId="6" fillId="6" borderId="0" xfId="0" applyNumberFormat="1" applyFont="1" applyFill="1" applyBorder="1" applyAlignment="1">
      <alignment horizontal="right"/>
    </xf>
    <xf numFmtId="0" fontId="0" fillId="11" borderId="0" xfId="0" applyFont="1" applyFill="1"/>
    <xf numFmtId="165" fontId="6" fillId="11" borderId="0" xfId="0" applyNumberFormat="1" applyFont="1" applyFill="1" applyBorder="1" applyAlignment="1">
      <alignment horizontal="right"/>
    </xf>
    <xf numFmtId="0" fontId="0" fillId="12" borderId="0" xfId="0" applyFont="1" applyFill="1"/>
    <xf numFmtId="165" fontId="6" fillId="12" borderId="0" xfId="0" applyNumberFormat="1" applyFont="1" applyFill="1" applyBorder="1" applyAlignment="1">
      <alignment horizontal="right"/>
    </xf>
    <xf numFmtId="0" fontId="2" fillId="0" borderId="0" xfId="0" applyFont="1" applyBorder="1"/>
    <xf numFmtId="0" fontId="0" fillId="2" borderId="0" xfId="0" applyFont="1" applyFill="1" applyBorder="1"/>
    <xf numFmtId="165" fontId="6" fillId="2" borderId="0" xfId="0" applyNumberFormat="1" applyFont="1" applyFill="1" applyBorder="1" applyAlignment="1">
      <alignment horizontal="right"/>
    </xf>
    <xf numFmtId="0" fontId="12" fillId="9" borderId="0" xfId="0" applyFont="1" applyFill="1" applyAlignment="1">
      <alignment horizontal="center" vertical="center"/>
    </xf>
    <xf numFmtId="164" fontId="9" fillId="0" borderId="8" xfId="0" applyNumberFormat="1" applyFont="1" applyBorder="1" applyAlignment="1">
      <alignment horizontal="right" indent="1"/>
    </xf>
    <xf numFmtId="0" fontId="2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center"/>
    </xf>
    <xf numFmtId="169" fontId="13" fillId="8" borderId="1" xfId="0" applyNumberFormat="1" applyFont="1" applyFill="1" applyBorder="1" applyAlignment="1">
      <alignment horizontal="right"/>
    </xf>
    <xf numFmtId="169" fontId="13" fillId="8" borderId="3" xfId="0" applyNumberFormat="1" applyFont="1" applyFill="1" applyBorder="1" applyAlignment="1">
      <alignment horizontal="right"/>
    </xf>
    <xf numFmtId="170" fontId="13" fillId="2" borderId="1" xfId="0" applyNumberFormat="1" applyFont="1" applyFill="1" applyBorder="1" applyAlignment="1">
      <alignment horizontal="right"/>
    </xf>
    <xf numFmtId="0" fontId="0" fillId="0" borderId="0" xfId="0" applyAlignment="1">
      <alignment horizontal="center"/>
    </xf>
    <xf numFmtId="14" fontId="0" fillId="0" borderId="0" xfId="0" applyNumberFormat="1"/>
    <xf numFmtId="173" fontId="0" fillId="0" borderId="0" xfId="0" applyNumberFormat="1"/>
    <xf numFmtId="40" fontId="5" fillId="13" borderId="0" xfId="0" applyNumberFormat="1" applyFont="1" applyFill="1" applyAlignment="1">
      <alignment horizontal="center" vertical="center"/>
    </xf>
    <xf numFmtId="40" fontId="6" fillId="5" borderId="1" xfId="0" applyNumberFormat="1" applyFont="1" applyFill="1" applyBorder="1" applyAlignment="1">
      <alignment horizontal="center" vertical="center"/>
    </xf>
    <xf numFmtId="170" fontId="13" fillId="14" borderId="0" xfId="0" applyNumberFormat="1" applyFont="1" applyFill="1" applyBorder="1" applyAlignment="1">
      <alignment horizontal="right"/>
    </xf>
    <xf numFmtId="174" fontId="13" fillId="14" borderId="0" xfId="0" applyNumberFormat="1" applyFont="1" applyFill="1" applyBorder="1" applyAlignment="1">
      <alignment horizontal="right"/>
    </xf>
    <xf numFmtId="0" fontId="0" fillId="0" borderId="0" xfId="0" applyFont="1"/>
    <xf numFmtId="0" fontId="15" fillId="0" borderId="1" xfId="0" applyFont="1" applyBorder="1" applyAlignment="1">
      <alignment horizontal="center"/>
    </xf>
    <xf numFmtId="0" fontId="15" fillId="0" borderId="5" xfId="0" applyFont="1" applyBorder="1" applyAlignment="1">
      <alignment horizontal="center"/>
    </xf>
  </cellXfs>
  <cellStyles count="3">
    <cellStyle name="Normal" xfId="0" builtinId="0"/>
    <cellStyle name="Normal 2" xfId="2"/>
    <cellStyle name="Normal 4" xfId="1"/>
  </cellStyles>
  <dxfs count="28"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numFmt numFmtId="173" formatCode="#,##0.00_ ;[Red]\-#,##0.00\ "/>
    </dxf>
    <dxf>
      <numFmt numFmtId="19" formatCode="dd/mm/yyyy"/>
    </dxf>
    <dxf>
      <numFmt numFmtId="173" formatCode="#,##0.00_ ;[Red]\-#,##0.00\ "/>
    </dxf>
    <dxf>
      <numFmt numFmtId="19" formatCode="dd/mm/yyyy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Medium9"/>
  <colors>
    <mruColors>
      <color rgb="FFFDE9D9"/>
      <color rgb="FFFFFF99"/>
      <color rgb="FFFFCC9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1</xdr:row>
          <xdr:rowOff>19050</xdr:rowOff>
        </xdr:from>
        <xdr:to>
          <xdr:col>1</xdr:col>
          <xdr:colOff>952500</xdr:colOff>
          <xdr:row>1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</xdr:row>
          <xdr:rowOff>19050</xdr:rowOff>
        </xdr:from>
        <xdr:to>
          <xdr:col>2</xdr:col>
          <xdr:colOff>952500</xdr:colOff>
          <xdr:row>1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PMRQ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MsDailyTable" displayName="MsDailyTable" ref="B28:M37" totalsRowShown="0" headerRowDxfId="27">
  <autoFilter ref="B28:M37"/>
  <tableColumns count="12">
    <tableColumn id="1" name="PREVIOUS" dataDxfId="26"/>
    <tableColumn id="2" name="Bank" dataDxfId="25"/>
    <tableColumn id="3" name="Currency" dataDxfId="24"/>
    <tableColumn id="4" name="FromTo" dataDxfId="23"/>
    <tableColumn id="5" name="Description" dataDxfId="22"/>
    <tableColumn id="6" name="Debit/Credit" dataDxfId="21"/>
    <tableColumn id="7" name="Charges" dataDxfId="20"/>
    <tableColumn id="8" name="Σ activity by curr." dataDxfId="19"/>
    <tableColumn id="9" name="BALANCE" dataDxfId="18"/>
    <tableColumn id="10" name="Report" dataDxfId="17"/>
    <tableColumn id="11" name="PMRQ" dataDxfId="16"/>
    <tableColumn id="12" name="TrType" dataDxfId="15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1" name="Activity" displayName="Activity" ref="B2:F3" insertRow="1" totalsRowShown="0" headerRowDxfId="14">
  <autoFilter ref="B2:F3"/>
  <tableColumns count="5">
    <tableColumn id="1" name="Date" dataDxfId="13"/>
    <tableColumn id="2" name="Bank"/>
    <tableColumn id="3" name="Currency"/>
    <tableColumn id="4" name="Total" dataDxfId="12"/>
    <tableColumn id="5" name="Regulate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PMRQ" displayName="PMRQ" ref="B2:K3" insertRow="1" totalsRowShown="0">
  <autoFilter ref="B2:K3"/>
  <tableColumns count="10">
    <tableColumn id="1" name="№"/>
    <tableColumn id="2" name="Date" dataDxfId="11"/>
    <tableColumn id="3" name="Bank"/>
    <tableColumn id="4" name="Account"/>
    <tableColumn id="5" name="Cur"/>
    <tableColumn id="6" name="SUM" dataDxfId="10"/>
    <tableColumn id="7" name="Beneficiary"/>
    <tableColumn id="8" name="Description"/>
    <tableColumn id="9" name="STATUS(MS)"/>
    <tableColumn id="10" name="Chec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37"/>
  <sheetViews>
    <sheetView tabSelected="1" zoomScale="90" zoomScaleNormal="90" workbookViewId="0">
      <selection activeCell="J21" sqref="J21"/>
    </sheetView>
  </sheetViews>
  <sheetFormatPr defaultColWidth="8.7109375" defaultRowHeight="15" x14ac:dyDescent="0.25"/>
  <cols>
    <col min="1" max="1" width="4.140625" style="1" customWidth="1"/>
    <col min="2" max="2" width="20.42578125" style="1" customWidth="1"/>
    <col min="3" max="3" width="17" style="1" customWidth="1"/>
    <col min="4" max="4" width="14.28515625" style="1" customWidth="1"/>
    <col min="5" max="5" width="32.7109375" style="1" customWidth="1"/>
    <col min="6" max="6" width="29.7109375" style="1" customWidth="1"/>
    <col min="7" max="7" width="22.140625" style="1" customWidth="1"/>
    <col min="8" max="8" width="18.7109375" style="1" customWidth="1"/>
    <col min="9" max="9" width="26.85546875" style="1" customWidth="1"/>
    <col min="10" max="10" width="18.5703125" style="1" customWidth="1"/>
    <col min="11" max="11" width="20" style="1" bestFit="1" customWidth="1"/>
    <col min="12" max="12" width="21" style="1" bestFit="1" customWidth="1"/>
    <col min="13" max="13" width="17.28515625" style="1" bestFit="1" customWidth="1"/>
    <col min="14" max="16384" width="8.7109375" style="1"/>
  </cols>
  <sheetData>
    <row r="1" spans="1:13" ht="15.75" x14ac:dyDescent="0.25">
      <c r="B1" s="4">
        <v>43194</v>
      </c>
      <c r="C1" s="4"/>
      <c r="E1" s="5" t="s">
        <v>18</v>
      </c>
      <c r="F1" s="5" t="s">
        <v>19</v>
      </c>
      <c r="G1" s="5" t="s">
        <v>21</v>
      </c>
      <c r="H1" s="5" t="s">
        <v>20</v>
      </c>
      <c r="I1" s="3"/>
    </row>
    <row r="2" spans="1:13" x14ac:dyDescent="0.25">
      <c r="E2" s="6">
        <f>PREV_USD_USD+PREV_EUR_USD+PREV_GBP_USD+PREV_CHF_USD</f>
        <v>249362.15499999997</v>
      </c>
      <c r="F2" s="6">
        <f>ACTIVITY_USD_USD+ACTIVITY_EUR_USD+ACTIVITY_GBP_USD+ACTIVITY_CHF_USD</f>
        <v>-566474.50390000001</v>
      </c>
      <c r="G2" s="6">
        <f>RATE_EUR_USD+RATE_GBP_USD+RATE_CHF_USD</f>
        <v>-1473.0955000000249</v>
      </c>
      <c r="H2" s="6">
        <f>BALANCE_USD_USD+BALANCE_EUR_USD+BALANCE_GBP_USD+BALANCE_CHF_USD</f>
        <v>-318585.44440000009</v>
      </c>
      <c r="I2" s="3"/>
    </row>
    <row r="3" spans="1:13" customFormat="1" hidden="1" x14ac:dyDescent="0.25">
      <c r="A3" s="1"/>
      <c r="B3" s="1"/>
      <c r="C3" s="1"/>
      <c r="D3" s="30" t="s">
        <v>3</v>
      </c>
      <c r="E3" s="25">
        <f>PREV_USD</f>
        <v>51352.54</v>
      </c>
      <c r="F3" s="25">
        <f>ACTIVITY_USD</f>
        <v>-49407.49</v>
      </c>
      <c r="G3" s="25">
        <v>0</v>
      </c>
      <c r="H3" s="25">
        <f>BALANCE_USD</f>
        <v>1945.05</v>
      </c>
      <c r="I3" s="1"/>
      <c r="J3" s="1"/>
      <c r="K3" s="1"/>
    </row>
    <row r="4" spans="1:13" hidden="1" x14ac:dyDescent="0.25">
      <c r="C4" s="24">
        <v>1.2</v>
      </c>
      <c r="D4" s="26" t="s">
        <v>2</v>
      </c>
      <c r="E4" s="27">
        <f>PREV_EUR*EUR_RATE_P</f>
        <v>3123.4560000000001</v>
      </c>
      <c r="F4" s="27">
        <f>ACTIVITY_EUR*EUR_RATE</f>
        <v>-517197.06390000001</v>
      </c>
      <c r="G4" s="27">
        <f>BALANCE_EUR_USD-(PREV_EUR_USD+ACTIVITY_EUR_USD)</f>
        <v>26.028799999970943</v>
      </c>
      <c r="H4" s="27">
        <f>BALANCE_EUR*EUR_RATE</f>
        <v>-514047.57910000003</v>
      </c>
      <c r="I4" s="24">
        <v>1.21</v>
      </c>
    </row>
    <row r="5" spans="1:13" hidden="1" x14ac:dyDescent="0.25">
      <c r="C5" s="24">
        <v>1.3</v>
      </c>
      <c r="D5" s="28" t="s">
        <v>4</v>
      </c>
      <c r="E5" s="29">
        <f>PREV_GBP*GBP_RATE_P</f>
        <v>194886.15899999999</v>
      </c>
      <c r="F5" s="29">
        <f>ACTIVITY_GBP*GBP_RATE</f>
        <v>129</v>
      </c>
      <c r="G5" s="29">
        <f>BALANCE_GBP_USD-(PREV_GBP_USD+ACTIVITY_GBP_USD)</f>
        <v>-1499.1242999999959</v>
      </c>
      <c r="H5" s="29">
        <f>BALANCE_GBP*GBP_RATE</f>
        <v>193516.03469999999</v>
      </c>
      <c r="I5" s="24">
        <v>1.29</v>
      </c>
    </row>
    <row r="6" spans="1:13" hidden="1" x14ac:dyDescent="0.25">
      <c r="C6" s="24">
        <v>1.04</v>
      </c>
      <c r="D6" s="31" t="s">
        <v>1</v>
      </c>
      <c r="E6" s="32">
        <f>PREV_CHF*CHF_RATE_P</f>
        <v>0</v>
      </c>
      <c r="F6" s="32">
        <f>ACTIVITY_CHF*CHF_RATE</f>
        <v>1.05</v>
      </c>
      <c r="G6" s="32">
        <f>BALANCE_CHF_USD-(PREV_CHF_USD+ACTIVITY_CHF_USD)</f>
        <v>0</v>
      </c>
      <c r="H6" s="32">
        <f>BALANCE_CHF*CHF_RATE</f>
        <v>1.05</v>
      </c>
      <c r="I6" s="24">
        <v>1.05</v>
      </c>
    </row>
    <row r="7" spans="1:13" hidden="1" x14ac:dyDescent="0.25">
      <c r="D7" s="47" t="s">
        <v>38</v>
      </c>
      <c r="I7" s="24">
        <v>0.27225700000000003</v>
      </c>
    </row>
    <row r="8" spans="1:13" customFormat="1" hidden="1" x14ac:dyDescent="0.25">
      <c r="G8" s="1"/>
      <c r="H8" s="1"/>
      <c r="I8" s="1"/>
    </row>
    <row r="9" spans="1:13" customFormat="1" x14ac:dyDescent="0.25">
      <c r="G9" s="1"/>
      <c r="H9" s="1"/>
      <c r="I9" s="1"/>
      <c r="K9" s="1"/>
      <c r="L9" s="1"/>
      <c r="M9" s="1"/>
    </row>
    <row r="10" spans="1:13" x14ac:dyDescent="0.25">
      <c r="B10" s="2"/>
      <c r="C10" s="3"/>
      <c r="D10"/>
      <c r="E10" s="3"/>
      <c r="F10" s="3"/>
      <c r="K10" s="5" t="s">
        <v>39</v>
      </c>
      <c r="L10" s="5" t="s">
        <v>31</v>
      </c>
      <c r="M10" s="5" t="s">
        <v>44</v>
      </c>
    </row>
    <row r="11" spans="1:13" x14ac:dyDescent="0.25">
      <c r="B11" s="2"/>
      <c r="C11" s="3"/>
      <c r="D11"/>
      <c r="E11" s="3"/>
      <c r="F11" s="3"/>
      <c r="K11" s="6">
        <f>USD_REPORT+EUR_REPORT*EUR_RATE+GBP_REPORT*GBP_RATE+CHF_REPORT*CHF_RATE</f>
        <v>-315899.57899999997</v>
      </c>
      <c r="L11" s="6">
        <f>USD_REPORTFILE+EUR_REPORTFILE*EUR_RATE+GBP_REPORTFILE*GBP_RATE+CHF_REPORTFILE*CHF_RATE</f>
        <v>0</v>
      </c>
      <c r="M11" s="6">
        <f>ALL_REPORT-ALL_REPORTFILE</f>
        <v>-315899.57899999997</v>
      </c>
    </row>
    <row r="12" spans="1:13" x14ac:dyDescent="0.25">
      <c r="E12" s="43" t="s">
        <v>8</v>
      </c>
      <c r="F12" s="43" t="s">
        <v>9</v>
      </c>
      <c r="G12" s="43" t="s">
        <v>10</v>
      </c>
      <c r="H12" s="44" t="s">
        <v>11</v>
      </c>
      <c r="I12" s="44" t="s">
        <v>12</v>
      </c>
      <c r="K12" s="43" t="s">
        <v>40</v>
      </c>
      <c r="L12" s="43" t="s">
        <v>24</v>
      </c>
      <c r="M12" s="43" t="s">
        <v>45</v>
      </c>
    </row>
    <row r="13" spans="1:13" x14ac:dyDescent="0.25">
      <c r="E13" s="6">
        <f>SUMIFS(MsDailyTable[PREVIOUS],MsDailyTable[Currency],USD_NAME)</f>
        <v>51352.54</v>
      </c>
      <c r="F13" s="6">
        <f>BALANCE_USD-PREV_USD</f>
        <v>-49407.49</v>
      </c>
      <c r="G13" s="6">
        <f>SUMIFS(MsDailyTable[BALANCE],MsDailyTable[Currency],USD_NAME)</f>
        <v>1945.05</v>
      </c>
      <c r="H13" s="7"/>
      <c r="I13" s="8">
        <f>BALANCE_USD+H13</f>
        <v>1945.05</v>
      </c>
      <c r="K13" s="6">
        <f>SUMIFS(MsDailyTable[Debit/Credit],MsDailyTable[Currency],USD_NAME,MsDailyTable[Report],"&lt;&gt;")</f>
        <v>0</v>
      </c>
      <c r="L13" s="6">
        <f>SUMIFS(Activity[Total],Activity[Currency],USD_NAME,Activity[Regulated],FALSE)</f>
        <v>0</v>
      </c>
      <c r="M13" s="6">
        <f>USD_REPORT-USD_REPORTFILE</f>
        <v>0</v>
      </c>
    </row>
    <row r="14" spans="1:13" x14ac:dyDescent="0.25">
      <c r="E14" s="9">
        <f>SUMIFS(MsDailyTable[PREVIOUS],MsDailyTable[Currency],EUR_NAME)</f>
        <v>2602.88</v>
      </c>
      <c r="F14" s="10">
        <f>BALANCE_EUR-PREV_EUR</f>
        <v>-427435.59</v>
      </c>
      <c r="G14" s="11">
        <f>SUMIFS(MsDailyTable[BALANCE],MsDailyTable[Currency],EUR_NAME)</f>
        <v>-424832.71</v>
      </c>
      <c r="H14" s="12"/>
      <c r="I14" s="13">
        <f>BALANCE_EUR+H14</f>
        <v>-424832.71</v>
      </c>
      <c r="K14" s="9">
        <f>SUMIFS(MsDailyTable[Debit/Credit],MsDailyTable[Currency],EUR_NAME,MsDailyTable[Report],"&lt;&gt;")</f>
        <v>-261074.9</v>
      </c>
      <c r="L14" s="9">
        <f>SUMIFS(Activity[Total],Activity[Currency],EUR_NAME,Activity[Regulated],FALSE)</f>
        <v>0</v>
      </c>
      <c r="M14" s="9">
        <f>EUR_REPORT-EUR_REPORTFILE</f>
        <v>-261074.9</v>
      </c>
    </row>
    <row r="15" spans="1:13" x14ac:dyDescent="0.25">
      <c r="E15" s="37">
        <f>SUMIFS(MsDailyTable[PREVIOUS],MsDailyTable[Currency],GBP_NAME)</f>
        <v>149912.43</v>
      </c>
      <c r="F15" s="38">
        <f>BALANCE_GBP-PREV_GBP</f>
        <v>100</v>
      </c>
      <c r="G15" s="37">
        <f>SUMIFS(MsDailyTable[BALANCE],MsDailyTable[Currency],GBP_NAME)</f>
        <v>150012.43</v>
      </c>
      <c r="H15" s="14"/>
      <c r="I15" s="15">
        <f>BALANCE_GBP+H15</f>
        <v>150012.43</v>
      </c>
      <c r="K15" s="37">
        <f>SUMIFS(MsDailyTable[Debit/Credit],MsDailyTable[Currency],GBP_NAME,MsDailyTable[Report],"&lt;&gt;")</f>
        <v>0</v>
      </c>
      <c r="L15" s="37">
        <f>SUMIFS(Activity[Total],Activity[Currency],GBP_NAME,Activity[Regulated],FALSE)</f>
        <v>0</v>
      </c>
      <c r="M15" s="37">
        <f>GBP_REPORT-GBP_REPORTFILE</f>
        <v>0</v>
      </c>
    </row>
    <row r="16" spans="1:13" x14ac:dyDescent="0.25">
      <c r="E16" s="39">
        <f>SUMIFS(MsDailyTable[PREVIOUS],MsDailyTable[Currency],CHF_NAME)</f>
        <v>0</v>
      </c>
      <c r="F16" s="39">
        <f>BALANCE_CHF-PREV_CHF</f>
        <v>1</v>
      </c>
      <c r="G16" s="39">
        <f>SUMIFS(MsDailyTable[BALANCE],MsDailyTable[Currency],CHF_NAME)</f>
        <v>1</v>
      </c>
      <c r="I16" s="16"/>
      <c r="K16" s="39">
        <f>SUMIFS(MsDailyTable[Debit/Credit],MsDailyTable[Currency],CHF_NAME,MsDailyTable[Report],"&lt;&gt;")</f>
        <v>1</v>
      </c>
      <c r="L16" s="39">
        <f>SUMIFS(Activity[Total],Activity[Currency],CHF_NAME,Activity[Regulated],FALSE)</f>
        <v>0</v>
      </c>
      <c r="M16" s="39">
        <f>CHF_REPORT-CHF_REPORTFILE</f>
        <v>1</v>
      </c>
    </row>
    <row r="17" spans="2:13" customFormat="1" x14ac:dyDescent="0.25">
      <c r="K17" s="1"/>
      <c r="L17" s="1"/>
      <c r="M17" s="1"/>
    </row>
    <row r="18" spans="2:13" customFormat="1" x14ac:dyDescent="0.25">
      <c r="B18" s="5" t="s">
        <v>61</v>
      </c>
      <c r="C18" s="5" t="s">
        <v>51</v>
      </c>
      <c r="D18" s="5" t="s">
        <v>48</v>
      </c>
      <c r="E18" s="5" t="s">
        <v>49</v>
      </c>
      <c r="F18" s="5" t="s">
        <v>53</v>
      </c>
      <c r="G18" s="5" t="s">
        <v>55</v>
      </c>
      <c r="H18" s="5" t="s">
        <v>57</v>
      </c>
      <c r="I18" s="5" t="s">
        <v>59</v>
      </c>
      <c r="J18" s="1"/>
      <c r="K18" s="5" t="s">
        <v>39</v>
      </c>
      <c r="L18" s="5" t="s">
        <v>32</v>
      </c>
      <c r="M18" s="5" t="s">
        <v>46</v>
      </c>
    </row>
    <row r="19" spans="2:13" customFormat="1" x14ac:dyDescent="0.25">
      <c r="B19" s="6">
        <f>USD_RP+EUR_RP*EUR_RATE+GBP_RP*GBP_RATE+CHF_RP*CHF_RATE</f>
        <v>-315799.57899999997</v>
      </c>
      <c r="C19" s="6">
        <f>USD_OTHER+EUR_OTHER*EUR_RATE+GBP_OTHER*GBP_RATE+CHF_OTHER*CHF_RATE</f>
        <v>195902.80129999999</v>
      </c>
      <c r="D19" s="6">
        <f>USD_CHARGES+EUR_CHARGES*EUR_RATE+GBP_CHARGES*GBP_RATE+CHF_CHARGES*CHF_RATE</f>
        <v>0</v>
      </c>
      <c r="E19" s="6">
        <f>USD_LSB+EUR_LSB*EUR_RATE+GBP_LSB*GBP_RATE+CHF_LSB*CHF_RATE</f>
        <v>0</v>
      </c>
      <c r="F19" s="6">
        <f>USD_ADMIN+EUR_ADMIN*EUR_RATE+GBP_ADMIN*GBP_RATE+CHF_ADMIN*CHF_RATE</f>
        <v>0</v>
      </c>
      <c r="G19" s="6">
        <f>USD_FX+EUR_FX*EUR_RATE+GBP_FX*GBP_RATE+CHF_FX*CHF_RATE</f>
        <v>0</v>
      </c>
      <c r="H19" s="6">
        <f>USD_CASH+EUR_CASH*EUR_RATE+GBP_CASH*GBP_RATE+CHF_CASH*CHF_RATE</f>
        <v>0</v>
      </c>
      <c r="I19" s="6">
        <f>USD_MS+EUR_MS*EUR_RATE+GBP_MS*GBP_RATE+CHF_MS*CHF_RATE</f>
        <v>0</v>
      </c>
      <c r="J19" s="1"/>
      <c r="K19" s="6">
        <f>USD_PMRQ+EUR_PMRQ*EUR_RATE+GBP_PMRQ*GBP_RATE+CHF_PMRQ*CHF_RATE</f>
        <v>101.05</v>
      </c>
      <c r="L19" s="6">
        <f>USD_PMRQFILE+EUR_PMRQFILE*EUR_RATE+GBP_PMRQFILE*GBP_RATE+CHF_PMRQFILE*CHF_RATE+AED_PMRQFILE*AED_RATE</f>
        <v>0</v>
      </c>
      <c r="M19" s="6">
        <f>ALL_PMRQ-ALL_PMRQFILE</f>
        <v>101.05</v>
      </c>
    </row>
    <row r="20" spans="2:13" customFormat="1" x14ac:dyDescent="0.25">
      <c r="B20" s="43" t="s">
        <v>62</v>
      </c>
      <c r="C20" s="43" t="s">
        <v>52</v>
      </c>
      <c r="D20" s="43" t="s">
        <v>22</v>
      </c>
      <c r="E20" s="43" t="s">
        <v>50</v>
      </c>
      <c r="F20" s="43" t="s">
        <v>54</v>
      </c>
      <c r="G20" s="43" t="s">
        <v>56</v>
      </c>
      <c r="H20" s="43" t="s">
        <v>58</v>
      </c>
      <c r="I20" s="43" t="s">
        <v>60</v>
      </c>
      <c r="J20" s="1"/>
      <c r="K20" s="43" t="s">
        <v>40</v>
      </c>
      <c r="L20" s="43" t="s">
        <v>25</v>
      </c>
      <c r="M20" s="43" t="s">
        <v>47</v>
      </c>
    </row>
    <row r="21" spans="2:13" customFormat="1" x14ac:dyDescent="0.25">
      <c r="B21" s="6">
        <f>SUMIFS(MsDailyTable[Debit/Credit],MsDailyTable[Currency],USD_NAME,MsDailyTable[Report],"=",MsDailyTable[PMRQ],"&lt;&gt;")+SUMIFS(MsDailyTable[Debit/Credit],MsDailyTable[Currency],USD_NAME,MsDailyTable[Report],"&lt;&gt;",MsDailyTable[PMRQ],"=")+SUMIFS(MsDailyTable[Debit/Credit],MsDailyTable[Currency],USD_NAME,MsDailyTable[Report],"&lt;&gt;",MsDailyTable[PMRQ],"&lt;&gt;")</f>
        <v>100</v>
      </c>
      <c r="C21" s="6">
        <f>SUMIFS(MsDailyTable[Debit/Credit],MsDailyTable[Currency],USD_NAME,MsDailyTable[Report],"=",MsDailyTable[PMRQ],"=",MsDailyTable[TrType],"=")</f>
        <v>0</v>
      </c>
      <c r="D21" s="6">
        <f>SUMIFS(MsDailyTable[Charges],MsDailyTable[Currency],USD_NAME)</f>
        <v>0</v>
      </c>
      <c r="E21" s="6">
        <f>SUMIFS(MsDailyTable[Debit/Credit],MsDailyTable[Currency],USD_NAME,MsDailyTable[Report],"=",MsDailyTable[PMRQ],"=",MsDailyTable[TrType],"LSB")</f>
        <v>0</v>
      </c>
      <c r="F21" s="6">
        <f>SUMIFS(MsDailyTable[Debit/Credit],MsDailyTable[Currency],USD_NAME,MsDailyTable[Report],"=",MsDailyTable[PMRQ],"=",MsDailyTable[TrType],"Intercompany")</f>
        <v>0</v>
      </c>
      <c r="G21" s="6">
        <f>SUMIFS(MsDailyTable[Debit/Credit],MsDailyTable[Currency],USD_NAME,MsDailyTable[Report],"=",MsDailyTable[PMRQ],"=",MsDailyTable[TrType],"FX")</f>
        <v>0</v>
      </c>
      <c r="H21" s="6">
        <f>SUMIFS(MsDailyTable[Debit/Credit],MsDailyTable[Currency],USD_NAME,MsDailyTable[Report],"=",MsDailyTable[PMRQ],"=",MsDailyTable[TrType],"Cash")</f>
        <v>0</v>
      </c>
      <c r="I21" s="6">
        <f>SUMIFS(MsDailyTable[Debit/Credit],MsDailyTable[Currency],USD_NAME,MsDailyTable[Report],"=",MsDailyTable[PMRQ],"=",MsDailyTable[TrType],"MS")</f>
        <v>0</v>
      </c>
      <c r="J21" s="1"/>
      <c r="K21" s="6">
        <f>SUMIFS(MsDailyTable[Debit/Credit],MsDailyTable[Currency],USD_NAME,MsDailyTable[PMRQ],"&lt;&gt;")</f>
        <v>100</v>
      </c>
      <c r="L21" s="6">
        <f>-1*IF(DTE="",SUMIFS(PMRQ[SUM],PMRQ[Cur],USD_NAME,PMRQ[Date],DTB),SUMIFS(PMRQ[SUM],PMRQ[Cur],USD_NAME,PMRQ[Date],"&gt;="&amp;DTB,PMRQ[Date],"&lt;="&amp;DTE))</f>
        <v>0</v>
      </c>
      <c r="M21" s="6">
        <f>USD_PMRQ-USD_PMRQFILE</f>
        <v>100</v>
      </c>
    </row>
    <row r="22" spans="2:13" customFormat="1" x14ac:dyDescent="0.25">
      <c r="B22" s="9">
        <f>SUMIFS(MsDailyTable[Debit/Credit],MsDailyTable[Currency],EUR_NAME,MsDailyTable[Report],"=",MsDailyTable[PMRQ],"&lt;&gt;")+SUMIFS(MsDailyTable[Debit/Credit],MsDailyTable[Currency],EUR_NAME,MsDailyTable[Report],"&lt;&gt;",MsDailyTable[PMRQ],"=")+SUMIFS(MsDailyTable[Debit/Credit],MsDailyTable[Currency],EUR_NAME,MsDailyTable[Report],"&lt;&gt;",MsDailyTable[PMRQ],"&lt;&gt;")</f>
        <v>-261074.9</v>
      </c>
      <c r="C22" s="9">
        <f>SUMIFS(MsDailyTable[Debit/Credit],MsDailyTable[Currency],EUR_NAME,MsDailyTable[Report],"=",MsDailyTable[PMRQ],"=",MsDailyTable[TrType],"=")</f>
        <v>161796.53</v>
      </c>
      <c r="D22" s="9">
        <f>SUMIFS(MsDailyTable[Charges],MsDailyTable[Currency],EUR_NAME)</f>
        <v>0</v>
      </c>
      <c r="E22" s="9">
        <f>SUMIFS(MsDailyTable[Debit/Credit],MsDailyTable[Currency],EUR_NAME,MsDailyTable[Report],"=",MsDailyTable[PMRQ],"=",MsDailyTable[TrType],"LSB")</f>
        <v>0</v>
      </c>
      <c r="F22" s="9">
        <f>SUMIFS(MsDailyTable[Debit/Credit],MsDailyTable[Currency],EUR_NAME,MsDailyTable[Report],"=",MsDailyTable[PMRQ],"=",MsDailyTable[TrType],"Intercompany")</f>
        <v>0</v>
      </c>
      <c r="G22" s="9">
        <f>SUMIFS(MsDailyTable[Debit/Credit],MsDailyTable[Currency],EUR_NAME,MsDailyTable[Report],"=",MsDailyTable[PMRQ],"=",MsDailyTable[TrType],"FX")</f>
        <v>0</v>
      </c>
      <c r="H22" s="9">
        <f>SUMIFS(MsDailyTable[Debit/Credit],MsDailyTable[Currency],EUR_NAME,MsDailyTable[Report],"=",MsDailyTable[PMRQ],"=",MsDailyTable[TrType],"Cash")</f>
        <v>0</v>
      </c>
      <c r="I22" s="9">
        <f>SUMIFS(MsDailyTable[Debit/Credit],MsDailyTable[Currency],EUR_NAME,MsDailyTable[Report],"=",MsDailyTable[PMRQ],"=",MsDailyTable[TrType],"MS")</f>
        <v>0</v>
      </c>
      <c r="J22" s="1"/>
      <c r="K22" s="9">
        <f>SUMIFS(MsDailyTable[Debit/Credit],MsDailyTable[Currency],EUR_NAME,MsDailyTable[PMRQ],"&lt;&gt;")</f>
        <v>0</v>
      </c>
      <c r="L22" s="9">
        <f>-1*IF(DTE="",SUMIFS(PMRQ[SUM],PMRQ[Cur],EUR_NAME,PMRQ[Date],DTB),SUMIFS(PMRQ[SUM],PMRQ[Cur],EUR_NAME,PMRQ[Date],"&gt;="&amp;DTB,PMRQ[Date],"&lt;="&amp;DTE))</f>
        <v>0</v>
      </c>
      <c r="M22" s="9">
        <f>EUR_PMRQ-EUR_PMRQFILE</f>
        <v>0</v>
      </c>
    </row>
    <row r="23" spans="2:13" customFormat="1" x14ac:dyDescent="0.25">
      <c r="B23" s="37">
        <f>SUMIFS(MsDailyTable[Debit/Credit],MsDailyTable[Currency],GBP_NAME,MsDailyTable[Report],"=",MsDailyTable[PMRQ],"&lt;&gt;")+SUMIFS(MsDailyTable[Debit/Credit],MsDailyTable[Currency],GBP_NAME,MsDailyTable[Report],"&lt;&gt;",MsDailyTable[PMRQ],"=")+SUMIFS(MsDailyTable[Debit/Credit],MsDailyTable[Currency],GBP_NAME,MsDailyTable[Report],"&lt;&gt;",MsDailyTable[PMRQ],"&lt;&gt;")</f>
        <v>0</v>
      </c>
      <c r="C23" s="37">
        <f>SUMIFS(MsDailyTable[Debit/Credit],MsDailyTable[Currency],GBP_NAME,MsDailyTable[Report],"=",MsDailyTable[PMRQ],"=",MsDailyTable[TrType],"=")</f>
        <v>100</v>
      </c>
      <c r="D23" s="37">
        <f>SUMIFS(MsDailyTable[Charges],MsDailyTable[Currency],GBP_NAME)</f>
        <v>0</v>
      </c>
      <c r="E23" s="37">
        <f>SUMIFS(MsDailyTable[Debit/Credit],MsDailyTable[Currency],GBP_NAME,MsDailyTable[Report],"=",MsDailyTable[PMRQ],"=",MsDailyTable[TrType],"LSB")</f>
        <v>0</v>
      </c>
      <c r="F23" s="37">
        <f>SUMIFS(MsDailyTable[Debit/Credit],MsDailyTable[Currency],GBP_NAME,MsDailyTable[Report],"=",MsDailyTable[PMRQ],"=",MsDailyTable[TrType],"Intercompany")</f>
        <v>0</v>
      </c>
      <c r="G23" s="37">
        <f>SUMIFS(MsDailyTable[Debit/Credit],MsDailyTable[Currency],GBP_NAME,MsDailyTable[Report],"=",MsDailyTable[PMRQ],"=",MsDailyTable[TrType],"FX")</f>
        <v>0</v>
      </c>
      <c r="H23" s="37">
        <f>SUMIFS(MsDailyTable[Debit/Credit],MsDailyTable[Currency],GBP_NAME,MsDailyTable[Report],"=",MsDailyTable[PMRQ],"=",MsDailyTable[TrType],"Cash")</f>
        <v>0</v>
      </c>
      <c r="I23" s="37">
        <f>SUMIFS(MsDailyTable[Debit/Credit],MsDailyTable[Currency],GBP_NAME,MsDailyTable[Report],"=",MsDailyTable[PMRQ],"=",MsDailyTable[TrType],"MS")</f>
        <v>0</v>
      </c>
      <c r="J23" s="1"/>
      <c r="K23" s="37">
        <f>SUMIFS(MsDailyTable[Debit/Credit],MsDailyTable[Currency],GBP_NAME,MsDailyTable[PMRQ],"&lt;&gt;")</f>
        <v>0</v>
      </c>
      <c r="L23" s="37">
        <f>-1*IF(DTE="",SUMIFS(PMRQ[SUM],PMRQ[Cur],GBP_NAME,PMRQ[Date],DTB),SUMIFS(PMRQ[SUM],PMRQ[Cur],GBP_NAME,PMRQ[Date],"&gt;="&amp;DTB,PMRQ[Date],"&lt;="&amp;DTE))</f>
        <v>0</v>
      </c>
      <c r="M23" s="37">
        <f>GBP_PMRQ-GBP_PMRQFILE</f>
        <v>0</v>
      </c>
    </row>
    <row r="24" spans="2:13" customFormat="1" x14ac:dyDescent="0.25">
      <c r="B24" s="39">
        <f>SUMIFS(MsDailyTable[Debit/Credit],MsDailyTable[Currency],CHF_NAME,MsDailyTable[Report],"=",MsDailyTable[PMRQ],"&lt;&gt;")+SUMIFS(MsDailyTable[Debit/Credit],MsDailyTable[Currency],CHF_NAME,MsDailyTable[Report],"&lt;&gt;",MsDailyTable[PMRQ],"=")+SUMIFS(MsDailyTable[Debit/Credit],MsDailyTable[Currency],CHF_NAME,MsDailyTable[Report],"&lt;&gt;",MsDailyTable[PMRQ],"&lt;&gt;")</f>
        <v>1</v>
      </c>
      <c r="C24" s="39">
        <f>SUMIFS(MsDailyTable[Debit/Credit],MsDailyTable[Currency],CHF_NAME,MsDailyTable[Report],"=",MsDailyTable[PMRQ],"=",MsDailyTable[TrType],"=")</f>
        <v>0</v>
      </c>
      <c r="D24" s="39">
        <f>SUMIFS(MsDailyTable[Charges],MsDailyTable[Currency],CHF_NAME)</f>
        <v>0</v>
      </c>
      <c r="E24" s="39">
        <f>SUMIFS(MsDailyTable[Debit/Credit],MsDailyTable[Currency],CHF_NAME,MsDailyTable[Report],"=",MsDailyTable[PMRQ],"=",MsDailyTable[TrType],"LSB")</f>
        <v>0</v>
      </c>
      <c r="F24" s="39">
        <f>SUMIFS(MsDailyTable[Debit/Credit],MsDailyTable[Currency],CHF_NAME,MsDailyTable[Report],"=",MsDailyTable[PMRQ],"=",MsDailyTable[TrType],"Intercompany")</f>
        <v>0</v>
      </c>
      <c r="G24" s="39">
        <f>SUMIFS(MsDailyTable[Debit/Credit],MsDailyTable[Currency],CHF_NAME,MsDailyTable[Report],"=",MsDailyTable[PMRQ],"=",MsDailyTable[TrType],"FX")</f>
        <v>0</v>
      </c>
      <c r="H24" s="39">
        <f>SUMIFS(MsDailyTable[Debit/Credit],MsDailyTable[Currency],CHF_NAME,MsDailyTable[Report],"=",MsDailyTable[PMRQ],"=",MsDailyTable[TrType],"Cash")</f>
        <v>0</v>
      </c>
      <c r="I24" s="39">
        <f>SUMIFS(MsDailyTable[Debit/Credit],MsDailyTable[Currency],CHF_NAME,MsDailyTable[Report],"=",MsDailyTable[PMRQ],"=",MsDailyTable[TrType],"MS")</f>
        <v>0</v>
      </c>
      <c r="J24" s="1"/>
      <c r="K24" s="39">
        <f>SUMIFS(MsDailyTable[Debit/Credit],MsDailyTable[Currency],CHF_NAME,MsDailyTable[PMRQ],"&lt;&gt;")</f>
        <v>1</v>
      </c>
      <c r="L24" s="39">
        <f>-1*IF(DTE="",SUMIFS(PMRQ[SUM],PMRQ[Cur],CHF_NAME,PMRQ[Date],DTB),SUMIFS(PMRQ[SUM],PMRQ[Cur],CHF_NAME,PMRQ[Date],"&gt;="&amp;DTB,PMRQ[Date],"&lt;="&amp;DTE))</f>
        <v>0</v>
      </c>
      <c r="M24" s="39">
        <f>CHF_PMRQ-CHF_PMRQFILE</f>
        <v>1</v>
      </c>
    </row>
    <row r="25" spans="2:13" customFormat="1" x14ac:dyDescent="0.25">
      <c r="F25" s="1"/>
      <c r="G25" s="1"/>
      <c r="H25" s="1"/>
      <c r="J25" s="1"/>
      <c r="K25" s="45"/>
      <c r="L25" s="46">
        <f>-1*IF(DTE="",SUMIFS(PMRQ[SUM],PMRQ[Cur],AED_NAME,PMRQ[Date],DTB),SUMIFS(PMRQ[SUM],PMRQ[Cur],AED_NAME,PMRQ[Date],"&gt;="&amp;DTB,PMRQ[Date],"&lt;="&amp;DTE))</f>
        <v>0</v>
      </c>
      <c r="M25" s="45"/>
    </row>
    <row r="26" spans="2:13" customFormat="1" x14ac:dyDescent="0.25">
      <c r="F26" s="1"/>
      <c r="G26" s="1"/>
      <c r="H26" s="1"/>
      <c r="J26" s="1"/>
    </row>
    <row r="28" spans="2:13" ht="23.25" customHeight="1" x14ac:dyDescent="0.25">
      <c r="B28" s="21" t="s">
        <v>8</v>
      </c>
      <c r="C28" s="22" t="s">
        <v>17</v>
      </c>
      <c r="D28" s="22" t="s">
        <v>0</v>
      </c>
      <c r="E28" s="22" t="s">
        <v>6</v>
      </c>
      <c r="F28" s="22" t="s">
        <v>5</v>
      </c>
      <c r="G28" s="22" t="s">
        <v>23</v>
      </c>
      <c r="H28" s="22" t="s">
        <v>22</v>
      </c>
      <c r="I28" s="21" t="s">
        <v>16</v>
      </c>
      <c r="J28" s="21" t="s">
        <v>10</v>
      </c>
      <c r="K28" s="33" t="s">
        <v>24</v>
      </c>
      <c r="L28" s="33" t="s">
        <v>25</v>
      </c>
      <c r="M28" s="33" t="s">
        <v>42</v>
      </c>
    </row>
    <row r="29" spans="2:13" ht="18.75" x14ac:dyDescent="0.3">
      <c r="B29" s="20">
        <v>0</v>
      </c>
      <c r="C29" s="17" t="s">
        <v>13</v>
      </c>
      <c r="D29" s="23" t="s">
        <v>2</v>
      </c>
      <c r="E29" s="18"/>
      <c r="F29" s="35"/>
      <c r="G29" s="19">
        <v>-261074.9</v>
      </c>
      <c r="H29" s="19"/>
      <c r="I29" s="20">
        <v>-427044.12</v>
      </c>
      <c r="J29" s="34">
        <v>-427044.12</v>
      </c>
      <c r="K29" s="36" t="s">
        <v>26</v>
      </c>
      <c r="L29" s="23"/>
      <c r="M29" s="49"/>
    </row>
    <row r="30" spans="2:13" ht="18.75" x14ac:dyDescent="0.3">
      <c r="B30" s="20">
        <v>0</v>
      </c>
      <c r="C30" s="17" t="s">
        <v>13</v>
      </c>
      <c r="D30" s="23" t="s">
        <v>4</v>
      </c>
      <c r="E30" s="18"/>
      <c r="F30" s="35"/>
      <c r="G30" s="19">
        <v>200</v>
      </c>
      <c r="H30" s="19"/>
      <c r="I30" s="20">
        <v>200</v>
      </c>
      <c r="J30" s="34">
        <v>200</v>
      </c>
      <c r="K30" s="36"/>
      <c r="L30" s="23"/>
      <c r="M30" s="48"/>
    </row>
    <row r="31" spans="2:13" ht="18.75" x14ac:dyDescent="0.3">
      <c r="B31" s="20">
        <v>0</v>
      </c>
      <c r="C31" s="17" t="s">
        <v>13</v>
      </c>
      <c r="D31" s="23" t="s">
        <v>1</v>
      </c>
      <c r="E31" s="18"/>
      <c r="F31" s="35"/>
      <c r="G31" s="19">
        <v>1</v>
      </c>
      <c r="H31" s="19"/>
      <c r="I31" s="20">
        <v>0</v>
      </c>
      <c r="J31" s="34">
        <v>1</v>
      </c>
      <c r="K31" s="36" t="s">
        <v>27</v>
      </c>
      <c r="L31" s="36">
        <v>88</v>
      </c>
      <c r="M31" s="48"/>
    </row>
    <row r="32" spans="2:13" ht="18.75" x14ac:dyDescent="0.3">
      <c r="B32" s="20"/>
      <c r="C32" s="17"/>
      <c r="D32" s="23"/>
      <c r="E32" s="18"/>
      <c r="F32" s="35"/>
      <c r="G32" s="19"/>
      <c r="H32" s="19"/>
      <c r="I32" s="20"/>
      <c r="J32" s="34"/>
      <c r="K32" s="23"/>
      <c r="L32" s="23"/>
      <c r="M32" s="48"/>
    </row>
    <row r="33" spans="2:13" ht="18.75" x14ac:dyDescent="0.3">
      <c r="B33" s="20">
        <v>149912.43</v>
      </c>
      <c r="C33" s="17" t="s">
        <v>14</v>
      </c>
      <c r="D33" s="23" t="s">
        <v>4</v>
      </c>
      <c r="E33" s="18"/>
      <c r="F33" s="35"/>
      <c r="G33" s="19">
        <v>-100</v>
      </c>
      <c r="H33" s="19"/>
      <c r="I33" s="20">
        <v>-100</v>
      </c>
      <c r="J33" s="34">
        <v>149812.43</v>
      </c>
      <c r="K33" s="23"/>
      <c r="L33" s="23"/>
      <c r="M33" s="48"/>
    </row>
    <row r="34" spans="2:13" ht="18.75" x14ac:dyDescent="0.3">
      <c r="B34" s="20"/>
      <c r="C34" s="17"/>
      <c r="D34" s="23"/>
      <c r="E34" s="18"/>
      <c r="F34" s="35"/>
      <c r="G34" s="19"/>
      <c r="H34" s="19"/>
      <c r="I34" s="20"/>
      <c r="J34" s="34"/>
      <c r="K34" s="23"/>
      <c r="L34" s="23"/>
      <c r="M34" s="48"/>
    </row>
    <row r="35" spans="2:13" ht="18.75" x14ac:dyDescent="0.3">
      <c r="B35" s="20">
        <v>51352.54</v>
      </c>
      <c r="C35" s="17" t="s">
        <v>15</v>
      </c>
      <c r="D35" s="23" t="s">
        <v>3</v>
      </c>
      <c r="E35" s="18"/>
      <c r="F35" s="35" t="s">
        <v>7</v>
      </c>
      <c r="G35" s="19">
        <v>100</v>
      </c>
      <c r="H35" s="19"/>
      <c r="I35" s="20">
        <v>-49407.49</v>
      </c>
      <c r="J35" s="34">
        <v>1945.05</v>
      </c>
      <c r="K35" s="36"/>
      <c r="L35" s="23">
        <v>55</v>
      </c>
      <c r="M35" s="48"/>
    </row>
    <row r="36" spans="2:13" ht="18.75" x14ac:dyDescent="0.3">
      <c r="B36" s="20">
        <v>2602.88</v>
      </c>
      <c r="C36" s="17" t="s">
        <v>15</v>
      </c>
      <c r="D36" s="23" t="s">
        <v>2</v>
      </c>
      <c r="E36" s="18"/>
      <c r="F36" s="35" t="s">
        <v>7</v>
      </c>
      <c r="G36" s="19">
        <v>161796.53</v>
      </c>
      <c r="H36" s="19"/>
      <c r="I36" s="20">
        <v>-391.47</v>
      </c>
      <c r="J36" s="34">
        <v>2211.41</v>
      </c>
      <c r="K36" s="23"/>
      <c r="L36" s="23"/>
      <c r="M36" s="48"/>
    </row>
    <row r="37" spans="2:13" ht="18.75" x14ac:dyDescent="0.3">
      <c r="B37" s="20">
        <v>0</v>
      </c>
      <c r="C37" s="17" t="s">
        <v>15</v>
      </c>
      <c r="D37" s="23" t="s">
        <v>1</v>
      </c>
      <c r="E37" s="18"/>
      <c r="F37" s="35" t="s">
        <v>7</v>
      </c>
      <c r="G37" s="19"/>
      <c r="H37" s="19"/>
      <c r="I37" s="20">
        <v>0</v>
      </c>
      <c r="J37" s="34">
        <v>0</v>
      </c>
      <c r="K37" s="23"/>
      <c r="L37" s="23"/>
      <c r="M37" s="35"/>
    </row>
  </sheetData>
  <conditionalFormatting sqref="D3 B29:M37">
    <cfRule type="expression" dxfId="4" priority="6">
      <formula>$D3=""</formula>
    </cfRule>
    <cfRule type="expression" dxfId="3" priority="7">
      <formula>$D3="CHF"</formula>
    </cfRule>
    <cfRule type="expression" dxfId="2" priority="8">
      <formula>$D3="GBP"</formula>
    </cfRule>
    <cfRule type="expression" dxfId="1" priority="9">
      <formula>$D3="EUR"</formula>
    </cfRule>
    <cfRule type="expression" dxfId="0" priority="10">
      <formula>$D3="USD"</formula>
    </cfRule>
  </conditionalFormatting>
  <pageMargins left="0.25" right="0.25" top="0.75" bottom="0.75" header="0.3" footer="0.3"/>
  <pageSetup paperSize="9" scale="55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Report">
                <anchor moveWithCells="1">
                  <from>
                    <xdr:col>1</xdr:col>
                    <xdr:colOff>171450</xdr:colOff>
                    <xdr:row>1</xdr:row>
                    <xdr:rowOff>19050</xdr:rowOff>
                  </from>
                  <to>
                    <xdr:col>1</xdr:col>
                    <xdr:colOff>952500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LoadPmrq">
                <anchor moveWithCells="1">
                  <from>
                    <xdr:col>2</xdr:col>
                    <xdr:colOff>171450</xdr:colOff>
                    <xdr:row>1</xdr:row>
                    <xdr:rowOff>19050</xdr:rowOff>
                  </from>
                  <to>
                    <xdr:col>2</xdr:col>
                    <xdr:colOff>952500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3"/>
  <sheetViews>
    <sheetView workbookViewId="0">
      <selection activeCell="C2" sqref="C2"/>
    </sheetView>
  </sheetViews>
  <sheetFormatPr defaultRowHeight="15" x14ac:dyDescent="0.25"/>
  <cols>
    <col min="2" max="2" width="10.140625" bestFit="1" customWidth="1"/>
    <col min="3" max="3" width="9.85546875" bestFit="1" customWidth="1"/>
    <col min="4" max="4" width="13.42578125" bestFit="1" customWidth="1"/>
    <col min="5" max="5" width="10.140625" bestFit="1" customWidth="1"/>
    <col min="6" max="6" width="14.5703125" bestFit="1" customWidth="1"/>
  </cols>
  <sheetData>
    <row r="2" spans="2:6" x14ac:dyDescent="0.25">
      <c r="B2" s="40" t="s">
        <v>28</v>
      </c>
      <c r="C2" s="40" t="s">
        <v>17</v>
      </c>
      <c r="D2" s="40" t="s">
        <v>0</v>
      </c>
      <c r="E2" s="40" t="s">
        <v>29</v>
      </c>
      <c r="F2" s="40" t="s">
        <v>30</v>
      </c>
    </row>
    <row r="3" spans="2:6" x14ac:dyDescent="0.25">
      <c r="B3" s="41"/>
      <c r="E3" s="4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K3"/>
  <sheetViews>
    <sheetView workbookViewId="0">
      <selection activeCell="C2" sqref="C2"/>
    </sheetView>
  </sheetViews>
  <sheetFormatPr defaultRowHeight="15" x14ac:dyDescent="0.25"/>
  <cols>
    <col min="3" max="3" width="12.140625" customWidth="1"/>
    <col min="5" max="5" width="10.28515625" customWidth="1"/>
    <col min="7" max="7" width="16" customWidth="1"/>
    <col min="8" max="8" width="46.5703125" customWidth="1"/>
    <col min="9" max="9" width="63.28515625" customWidth="1"/>
    <col min="10" max="10" width="12.85546875" customWidth="1"/>
    <col min="11" max="11" width="9.140625" customWidth="1"/>
  </cols>
  <sheetData>
    <row r="2" spans="2:11" x14ac:dyDescent="0.25">
      <c r="B2" t="s">
        <v>33</v>
      </c>
      <c r="C2" t="s">
        <v>28</v>
      </c>
      <c r="D2" t="s">
        <v>17</v>
      </c>
      <c r="E2" t="s">
        <v>34</v>
      </c>
      <c r="F2" t="s">
        <v>35</v>
      </c>
      <c r="G2" t="s">
        <v>36</v>
      </c>
      <c r="H2" t="s">
        <v>37</v>
      </c>
      <c r="I2" t="s">
        <v>5</v>
      </c>
      <c r="J2" t="s">
        <v>43</v>
      </c>
      <c r="K2" t="s">
        <v>41</v>
      </c>
    </row>
    <row r="3" spans="2:11" x14ac:dyDescent="0.25">
      <c r="C3" s="41"/>
      <c r="G3" s="42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100</vt:i4>
      </vt:variant>
    </vt:vector>
  </HeadingPairs>
  <TitlesOfParts>
    <vt:vector size="103" baseType="lpstr">
      <vt:lpstr>MS_Daily</vt:lpstr>
      <vt:lpstr>Activity</vt:lpstr>
      <vt:lpstr>PMRQ</vt:lpstr>
      <vt:lpstr>ACTIVITY_CHF</vt:lpstr>
      <vt:lpstr>ACTIVITY_CHF_USD</vt:lpstr>
      <vt:lpstr>ACTIVITY_EUR</vt:lpstr>
      <vt:lpstr>ACTIVITY_EUR_USD</vt:lpstr>
      <vt:lpstr>ACTIVITY_GBP</vt:lpstr>
      <vt:lpstr>ACTIVITY_GBP_USD</vt:lpstr>
      <vt:lpstr>ACTIVITY_USD</vt:lpstr>
      <vt:lpstr>ACTIVITY_USD_USD</vt:lpstr>
      <vt:lpstr>AED_NAME</vt:lpstr>
      <vt:lpstr>AED_PMRQFILE</vt:lpstr>
      <vt:lpstr>AED_RATE</vt:lpstr>
      <vt:lpstr>ALL_PMRQ</vt:lpstr>
      <vt:lpstr>ALL_PMRQFILE</vt:lpstr>
      <vt:lpstr>ALL_REPORT</vt:lpstr>
      <vt:lpstr>ALL_REPORTFILE</vt:lpstr>
      <vt:lpstr>BALANCE_CHF</vt:lpstr>
      <vt:lpstr>BALANCE_CHF_USD</vt:lpstr>
      <vt:lpstr>BALANCE_EUR</vt:lpstr>
      <vt:lpstr>BALANCE_EUR_USD</vt:lpstr>
      <vt:lpstr>BALANCE_GBP</vt:lpstr>
      <vt:lpstr>BALANCE_GBP_USD</vt:lpstr>
      <vt:lpstr>BALANCE_USD</vt:lpstr>
      <vt:lpstr>BALANCE_USD_USD</vt:lpstr>
      <vt:lpstr>CHF_ADMIN</vt:lpstr>
      <vt:lpstr>CHF_CASH</vt:lpstr>
      <vt:lpstr>CHF_CHARGES</vt:lpstr>
      <vt:lpstr>CHF_DELTA_REPORT</vt:lpstr>
      <vt:lpstr>CHF_FX</vt:lpstr>
      <vt:lpstr>CHF_LSB</vt:lpstr>
      <vt:lpstr>CHF_MS</vt:lpstr>
      <vt:lpstr>CHF_NAME</vt:lpstr>
      <vt:lpstr>CHF_OTHER</vt:lpstr>
      <vt:lpstr>CHF_PMRQ</vt:lpstr>
      <vt:lpstr>CHF_PMRQFILE</vt:lpstr>
      <vt:lpstr>CHF_RATE</vt:lpstr>
      <vt:lpstr>CHF_RATE_P</vt:lpstr>
      <vt:lpstr>CHF_REPORT</vt:lpstr>
      <vt:lpstr>CHF_REPORTFILE</vt:lpstr>
      <vt:lpstr>CHF_RP</vt:lpstr>
      <vt:lpstr>DELTA_PMRQ</vt:lpstr>
      <vt:lpstr>DELTA_REPORT</vt:lpstr>
      <vt:lpstr>DTB</vt:lpstr>
      <vt:lpstr>DTE</vt:lpstr>
      <vt:lpstr>EUR_ADMIN</vt:lpstr>
      <vt:lpstr>EUR_CASH</vt:lpstr>
      <vt:lpstr>EUR_CHARGES</vt:lpstr>
      <vt:lpstr>EUR_DELTA_REPORT</vt:lpstr>
      <vt:lpstr>EUR_FX</vt:lpstr>
      <vt:lpstr>EUR_LSB</vt:lpstr>
      <vt:lpstr>EUR_MS</vt:lpstr>
      <vt:lpstr>EUR_NAME</vt:lpstr>
      <vt:lpstr>EUR_OTHER</vt:lpstr>
      <vt:lpstr>EUR_PMRQ</vt:lpstr>
      <vt:lpstr>EUR_PMRQFILE</vt:lpstr>
      <vt:lpstr>EUR_RATE</vt:lpstr>
      <vt:lpstr>EUR_RATE_P</vt:lpstr>
      <vt:lpstr>EUR_REPORT</vt:lpstr>
      <vt:lpstr>EUR_REPORTFILE</vt:lpstr>
      <vt:lpstr>EUR_RP</vt:lpstr>
      <vt:lpstr>GBP_ADMIN</vt:lpstr>
      <vt:lpstr>GBP_CASH</vt:lpstr>
      <vt:lpstr>GBP_CHARGES</vt:lpstr>
      <vt:lpstr>GBP_DELTA_REPORT</vt:lpstr>
      <vt:lpstr>GBP_FX</vt:lpstr>
      <vt:lpstr>GBP_LSB</vt:lpstr>
      <vt:lpstr>GBP_MS</vt:lpstr>
      <vt:lpstr>GBP_NAME</vt:lpstr>
      <vt:lpstr>GBP_OTHER</vt:lpstr>
      <vt:lpstr>GBP_PMRQ</vt:lpstr>
      <vt:lpstr>GBP_PMRQFILE</vt:lpstr>
      <vt:lpstr>GBP_RATE</vt:lpstr>
      <vt:lpstr>GBP_RATE_P</vt:lpstr>
      <vt:lpstr>GBP_REPORT</vt:lpstr>
      <vt:lpstr>GBP_REPORTFILE</vt:lpstr>
      <vt:lpstr>GBP_RP</vt:lpstr>
      <vt:lpstr>PREV_CHF</vt:lpstr>
      <vt:lpstr>PREV_CHF_USD</vt:lpstr>
      <vt:lpstr>PREV_EUR</vt:lpstr>
      <vt:lpstr>PREV_EUR_USD</vt:lpstr>
      <vt:lpstr>PREV_GBP</vt:lpstr>
      <vt:lpstr>PREV_GBP_USD</vt:lpstr>
      <vt:lpstr>PREV_USD</vt:lpstr>
      <vt:lpstr>PREV_USD_USD</vt:lpstr>
      <vt:lpstr>RATE_CHF_USD</vt:lpstr>
      <vt:lpstr>RATE_EUR_USD</vt:lpstr>
      <vt:lpstr>RATE_GBP_USD</vt:lpstr>
      <vt:lpstr>USD_ADMIN</vt:lpstr>
      <vt:lpstr>USD_CASH</vt:lpstr>
      <vt:lpstr>USD_CHARGES</vt:lpstr>
      <vt:lpstr>USD_DELTA_REPORT</vt:lpstr>
      <vt:lpstr>USD_FX</vt:lpstr>
      <vt:lpstr>USD_LSB</vt:lpstr>
      <vt:lpstr>USD_MS</vt:lpstr>
      <vt:lpstr>USD_NAME</vt:lpstr>
      <vt:lpstr>USD_OTHER</vt:lpstr>
      <vt:lpstr>USD_PMRQ</vt:lpstr>
      <vt:lpstr>USD_PMRQFILE</vt:lpstr>
      <vt:lpstr>USD_REPORT</vt:lpstr>
      <vt:lpstr>USD_REPORTFILE</vt:lpstr>
      <vt:lpstr>USD_RP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2018-04-26T14:42:21Z</dcterms:modified>
</cp:coreProperties>
</file>