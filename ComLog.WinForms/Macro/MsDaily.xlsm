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filterPrivacy="1" codeName="ThisWorkbook" defaultThemeVersion="124226"/>
  <xr:revisionPtr revIDLastSave="0" documentId="13_ncr:1_{7E096E4F-CE29-49F8-BF44-73786783330E}" xr6:coauthVersionLast="31" xr6:coauthVersionMax="31" xr10:uidLastSave="{00000000-0000-0000-0000-000000000000}"/>
  <bookViews>
    <workbookView xWindow="-920" yWindow="230" windowWidth="26570" windowHeight="10140" xr2:uid="{00000000-000D-0000-FFFF-FFFF00000000}"/>
  </bookViews>
  <sheets>
    <sheet name="MS_Daily" sheetId="3" r:id="rId1"/>
    <sheet name="Activity" sheetId="7" r:id="rId2"/>
    <sheet name="PMRQ" sheetId="8" r:id="rId3"/>
  </sheets>
  <functionGroups builtInGroupCount="19"/>
  <definedNames>
    <definedName name="ACTIVITY_CHF">MS_Daily!$F$15</definedName>
    <definedName name="ACTIVITY_CHF_USD">MS_Daily!$F$6</definedName>
    <definedName name="ACTIVITY_EUR">MS_Daily!$F$13</definedName>
    <definedName name="ACTIVITY_EUR_USD">MS_Daily!$F$4</definedName>
    <definedName name="ACTIVITY_GBP">MS_Daily!$F$14</definedName>
    <definedName name="ACTIVITY_GBP_USD">MS_Daily!$F$5</definedName>
    <definedName name="ACTIVITY_HKD">MS_Daily!#REF!</definedName>
    <definedName name="ACTIVITY_HKD_USD">MS_Daily!#REF!</definedName>
    <definedName name="ACTIVITY_USD">MS_Daily!$F$12</definedName>
    <definedName name="ACTIVITY_USD_USD">MS_Daily!$F$3</definedName>
    <definedName name="AED_NAME">MS_Daily!$D$7</definedName>
    <definedName name="AED_PMRQFILE">MS_Daily!$K$24</definedName>
    <definedName name="AED_RATE">MS_Daily!$I$7</definedName>
    <definedName name="ALL_PMRQ">MS_Daily!$J$18</definedName>
    <definedName name="ALL_PMRQFILE">MS_Daily!$K$18</definedName>
    <definedName name="ALL_REPORT">MS_Daily!$B$18</definedName>
    <definedName name="ALL_REPORTFILE">MS_Daily!$C$18</definedName>
    <definedName name="BALANCE_CHF">MS_Daily!$G$15</definedName>
    <definedName name="BALANCE_CHF_USD">MS_Daily!$H$6</definedName>
    <definedName name="BALANCE_EUR">MS_Daily!$G$13</definedName>
    <definedName name="BALANCE_EUR_USD">MS_Daily!$H$4</definedName>
    <definedName name="BALANCE_GBP">MS_Daily!$G$14</definedName>
    <definedName name="BALANCE_GBP_USD">MS_Daily!$H$5</definedName>
    <definedName name="BALANCE_HKD">MS_Daily!#REF!</definedName>
    <definedName name="BALANCE_HKD_USD">MS_Daily!#REF!</definedName>
    <definedName name="BALANCE_USD">MS_Daily!$G$12</definedName>
    <definedName name="BALANCE_USD_USD">MS_Daily!$H$3</definedName>
    <definedName name="CHF_DELTA_REPORT">MS_Daily!$D$23</definedName>
    <definedName name="CHF_NAME">MS_Daily!$D$6</definedName>
    <definedName name="CHF_PMRQ">MS_Daily!$J$23</definedName>
    <definedName name="CHF_PMRQFILE">MS_Daily!$K$23</definedName>
    <definedName name="CHF_RATE">MS_Daily!$I$6</definedName>
    <definedName name="CHF_RATE_P">MS_Daily!$C$6</definedName>
    <definedName name="CHF_REPORT">MS_Daily!$B$23</definedName>
    <definedName name="CHF_REPORTFILE">MS_Daily!$C$23</definedName>
    <definedName name="DELTA_PMRQ">MS_Daily!$L$18</definedName>
    <definedName name="DELTA_REPORT">MS_Daily!$D$18</definedName>
    <definedName name="DTB">MS_Daily!$B$1</definedName>
    <definedName name="DTE">MS_Daily!$C$1</definedName>
    <definedName name="EUR_DELTA_REPORT">MS_Daily!$D$21</definedName>
    <definedName name="EUR_NAME">MS_Daily!$D$4</definedName>
    <definedName name="EUR_PMRQ">MS_Daily!$J$21</definedName>
    <definedName name="EUR_PMRQFILE">MS_Daily!$K$21</definedName>
    <definedName name="EUR_RATE">MS_Daily!$I$4</definedName>
    <definedName name="EUR_RATE_P">MS_Daily!$C$4</definedName>
    <definedName name="EUR_REPORT">MS_Daily!$B$21</definedName>
    <definedName name="EUR_REPORTFILE">MS_Daily!$C$21</definedName>
    <definedName name="GBP_DELTA_REPORT">MS_Daily!$D$22</definedName>
    <definedName name="GBP_NAME">MS_Daily!$D$5</definedName>
    <definedName name="GBP_PMRQ">MS_Daily!$J$22</definedName>
    <definedName name="GBP_PMRQFILE">MS_Daily!$K$22</definedName>
    <definedName name="GBP_RATE">MS_Daily!$I$5</definedName>
    <definedName name="GBP_RATE_P">MS_Daily!$C$5</definedName>
    <definedName name="GBP_REPORT">MS_Daily!$B$22</definedName>
    <definedName name="GBP_REPORTFILE">MS_Daily!$C$22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MS_Daily!$E$15</definedName>
    <definedName name="PREV_CHF_USD">MS_Daily!$E$6</definedName>
    <definedName name="PREV_EUR">MS_Daily!$E$13</definedName>
    <definedName name="PREV_EUR_USD">MS_Daily!$E$4</definedName>
    <definedName name="PREV_GBP">MS_Daily!$E$14</definedName>
    <definedName name="PREV_GBP_USD">MS_Daily!$E$5</definedName>
    <definedName name="PREV_HKD">MS_Daily!#REF!</definedName>
    <definedName name="PREV_HKD_USD">MS_Daily!#REF!</definedName>
    <definedName name="PREV_USD">MS_Daily!$E$12</definedName>
    <definedName name="PREV_USD_USD">MS_Daily!$E$3</definedName>
    <definedName name="RATE_CHF_USD">MS_Daily!$G$6</definedName>
    <definedName name="RATE_EUR_USD">MS_Daily!$G$4</definedName>
    <definedName name="RATE_GBP_USD">MS_Daily!$G$5</definedName>
    <definedName name="RATE_HKD_USD">MS_Daily!#REF!</definedName>
    <definedName name="USD_DELTA_REPORT">MS_Daily!$D$20</definedName>
    <definedName name="USD_NAME">MS_Daily!$D$3</definedName>
    <definedName name="USD_PMRQ">MS_Daily!$J$20</definedName>
    <definedName name="USD_PMRQFILE">MS_Daily!$K$20</definedName>
    <definedName name="USD_REPORT">MS_Daily!$B$20</definedName>
    <definedName name="USD_REPORTFILE">MS_Daily!$C$20</definedName>
  </definedNames>
  <calcPr calcId="179017"/>
  <fileRecoveryPr autoRecover="0"/>
</workbook>
</file>

<file path=xl/calcChain.xml><?xml version="1.0" encoding="utf-8"?>
<calcChain xmlns="http://schemas.openxmlformats.org/spreadsheetml/2006/main">
  <c r="K24" i="3" l="1"/>
  <c r="K23" i="3" l="1"/>
  <c r="K22" i="3"/>
  <c r="K21" i="3"/>
  <c r="K20" i="3"/>
  <c r="K18" i="3" l="1"/>
  <c r="E15" i="3"/>
  <c r="E6" i="3" s="1"/>
  <c r="E14" i="3"/>
  <c r="E5" i="3" s="1"/>
  <c r="E13" i="3"/>
  <c r="E4" i="3" s="1"/>
  <c r="E12" i="3"/>
  <c r="E3" i="3" s="1"/>
  <c r="G15" i="3"/>
  <c r="H6" i="3" s="1"/>
  <c r="G14" i="3"/>
  <c r="I14" i="3" s="1"/>
  <c r="G13" i="3"/>
  <c r="H4" i="3" s="1"/>
  <c r="G12" i="3"/>
  <c r="H3" i="3" s="1"/>
  <c r="E2" i="3" l="1"/>
  <c r="I13" i="3"/>
  <c r="I12" i="3"/>
  <c r="F15" i="3"/>
  <c r="F6" i="3" s="1"/>
  <c r="G6" i="3" s="1"/>
  <c r="F14" i="3"/>
  <c r="F5" i="3" s="1"/>
  <c r="H5" i="3"/>
  <c r="H2" i="3" s="1"/>
  <c r="F13" i="3"/>
  <c r="F4" i="3" s="1"/>
  <c r="G4" i="3" s="1"/>
  <c r="F12" i="3"/>
  <c r="F3" i="3" s="1"/>
  <c r="F2" i="3" l="1"/>
  <c r="G5" i="3"/>
  <c r="G2" i="3" s="1"/>
  <c r="C23" i="3" l="1"/>
  <c r="C22" i="3"/>
  <c r="C21" i="3"/>
  <c r="C20" i="3"/>
  <c r="C18" i="3" l="1"/>
  <c r="B23" i="3"/>
  <c r="D23" i="3" s="1"/>
  <c r="B22" i="3"/>
  <c r="B21" i="3"/>
  <c r="D21" i="3" s="1"/>
  <c r="B20" i="3"/>
  <c r="D20" i="3" l="1"/>
  <c r="B18" i="3"/>
  <c r="D18" i="3" s="1"/>
  <c r="D22" i="3"/>
  <c r="J23" i="3"/>
  <c r="L23" i="3" s="1"/>
  <c r="J22" i="3"/>
  <c r="L22" i="3" s="1"/>
  <c r="J21" i="3"/>
  <c r="L21" i="3" s="1"/>
  <c r="J20" i="3"/>
  <c r="L20" i="3" l="1"/>
  <c r="J18" i="3"/>
  <c r="L18" i="3" s="1"/>
</calcChain>
</file>

<file path=xl/sharedStrings.xml><?xml version="1.0" encoding="utf-8"?>
<sst xmlns="http://schemas.openxmlformats.org/spreadsheetml/2006/main" count="70" uniqueCount="46">
  <si>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</si>
  <si>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</si>
  <si>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</si>
  <si>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</si>
  <si>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</si>
  <si>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</si>
  <si>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</si>
  <si>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</si>
  <si>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</si>
  <si>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</si>
  <si>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</si>
  <si>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</si>
  <si>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</si>
  <si>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</si>
  <si>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</si>
  <si>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</si>
  <si>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</si>
  <si>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</si>
  <si>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</si>
  <si>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</si>
  <si>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</si>
  <si>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</si>
  <si>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</si>
  <si>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</si>
  <si>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</si>
  <si>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</si>
  <si>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</si>
  <si>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</si>
  <si>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</si>
  <si>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</si>
  <si>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</si>
  <si>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</si>
  <si>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File $</t>
  </si>
  <si>
    <t>File</t>
  </si>
  <si>
    <t>PMRQ $</t>
  </si>
  <si>
    <t>№</t>
  </si>
  <si>
    <t>Account</t>
  </si>
  <si>
    <t>Cur</t>
  </si>
  <si>
    <t>SUM</t>
  </si>
  <si>
    <t>Beneficiary</t>
  </si>
  <si>
    <t>STATUS (MS)</t>
  </si>
  <si>
    <t>Report - File $</t>
  </si>
  <si>
    <t>PMRQ - File $</t>
  </si>
  <si>
    <t>Report - File</t>
  </si>
  <si>
    <t>PMRQ - File</t>
  </si>
  <si>
    <t>AED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</si>
</sst>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  <numFmt numFmtId="173" formatCode="#,##0.00_ ;[Red]\-#,##0.00\ "/>
    <numFmt numFmtId="174" formatCode="#,##0.00\ [$AED];[Red]\-#,##0.00\ [$AED]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48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6" xfId="0" applyNumberFormat="1" applyFont="1" applyFill="1" applyBorder="1"/>
    <xf numFmtId="168" fontId="6" fillId="5" borderId="7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3" fillId="8" borderId="1" xfId="0" applyNumberFormat="1" applyFont="1" applyFill="1" applyBorder="1" applyAlignment="1">
      <alignment horizontal="right"/>
    </xf>
    <xf numFmtId="169" fontId="13" fillId="8" borderId="3" xfId="0" applyNumberFormat="1" applyFont="1" applyFill="1" applyBorder="1" applyAlignment="1">
      <alignment horizontal="right"/>
    </xf>
    <xf numFmtId="170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3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70" fontId="13" fillId="14" borderId="0" xfId="0" applyNumberFormat="1" applyFont="1" applyFill="1" applyBorder="1" applyAlignment="1">
      <alignment horizontal="right"/>
    </xf>
    <xf numFmtId="174" fontId="13" fillId="14" borderId="0" xfId="0" applyNumberFormat="1" applyFont="1" applyFill="1" applyBorder="1" applyAlignment="1">
      <alignment horizontal="right"/>
    </xf>
    <xf numFmtId="0" fontId="0" fillId="0" borderId="0" xfId="0" applyFont="1"/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22">
    <dxf>
      <numFmt numFmtId="173" formatCode="#,##0.00_ ;[Red]\-#,##0.00\ "/>
    </dxf>
    <dxf>
      <numFmt numFmtId="19" formatCode="dd/mm/yyyy"/>
    </dxf>
    <dxf>
      <numFmt numFmtId="173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MsDailyTable" displayName="MsDailyTable" ref="B26:L35" totalsRowShown="0" headerRowDxfId="16">
  <tableColumns count="11">
    <tableColumn id="1" xr3:uid="{00000000-0010-0000-0000-000001000000}" name="PREVIOUS" dataDxfId="15"/>
    <tableColumn id="2" xr3:uid="{00000000-0010-0000-0000-000002000000}" name="Bank" dataDxfId="14"/>
    <tableColumn id="3" xr3:uid="{00000000-0010-0000-0000-000003000000}" name="Currency" dataDxfId="13"/>
    <tableColumn id="4" xr3:uid="{00000000-0010-0000-0000-000004000000}" name="FromTo" dataDxfId="12"/>
    <tableColumn id="5" xr3:uid="{00000000-0010-0000-0000-000005000000}" name="Description" dataDxfId="11"/>
    <tableColumn id="6" xr3:uid="{00000000-0010-0000-0000-000006000000}" name="Debit/Credit" dataDxfId="10"/>
    <tableColumn id="7" xr3:uid="{00000000-0010-0000-0000-000007000000}" name="Charges" dataDxfId="9"/>
    <tableColumn id="8" xr3:uid="{00000000-0010-0000-0000-000008000000}" name="Σ activity by curr." dataDxfId="8"/>
    <tableColumn id="9" xr3:uid="{00000000-0010-0000-0000-000009000000}" name="BALANCE" dataDxfId="7"/>
    <tableColumn id="10" xr3:uid="{00000000-0010-0000-0000-00000A000000}" name="Report" dataDxfId="6"/>
    <tableColumn id="11" xr3:uid="{00000000-0010-0000-0000-00000B000000}" name="PMRQ" dataDxfId="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ctivity" displayName="Activity" ref="B2:F3" insertRow="1" totalsRowShown="0" headerRowDxfId="4">
  <tableColumns count="5">
    <tableColumn id="1" xr3:uid="{00000000-0010-0000-0100-000001000000}" name="Date" dataDxfId="3"/>
    <tableColumn id="2" xr3:uid="{00000000-0010-0000-0100-000002000000}" name="Bank"/>
    <tableColumn id="3" xr3:uid="{00000000-0010-0000-0100-000003000000}" name="Currency"/>
    <tableColumn id="4" xr3:uid="{00000000-0010-0000-0100-000004000000}" name="Total" dataDxfId="2"/>
    <tableColumn id="5" xr3:uid="{00000000-0010-0000-0100-000005000000}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MRQ" displayName="PMRQ" ref="B2:J3" totalsRowShown="0">
  <autoFilter ref="B2:J3" xr:uid="{00000000-0009-0000-0100-000004000000}"/>
  <tableColumns count="9">
    <tableColumn id="1" xr3:uid="{00000000-0010-0000-0200-000001000000}" name="№"/>
    <tableColumn id="2" xr3:uid="{00000000-0010-0000-0200-000002000000}" name="Date" dataDxfId="1"/>
    <tableColumn id="3" xr3:uid="{00000000-0010-0000-0200-000003000000}" name="Bank"/>
    <tableColumn id="4" xr3:uid="{00000000-0010-0000-0200-000004000000}" name="Account"/>
    <tableColumn id="5" xr3:uid="{00000000-0010-0000-0200-000005000000}" name="Cur"/>
    <tableColumn id="6" xr3:uid="{00000000-0010-0000-0200-000006000000}" name="SUM" dataDxfId="0"/>
    <tableColumn id="7" xr3:uid="{00000000-0010-0000-0200-000007000000}" name="Beneficiary"/>
    <tableColumn id="8" xr3:uid="{00000000-0010-0000-0200-000008000000}" name="Description"/>
    <tableColumn id="9" xr3:uid="{00000000-0010-0000-0200-000009000000}" name="STATUS (MS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L35"/>
  <sheetViews>
    <sheetView tabSelected="1" zoomScale="90" zoomScaleNormal="90" workbookViewId="0">
      <pane ySplit="26" topLeftCell="A27" activePane="bottomLeft" state="frozen"/>
      <selection pane="bottomLeft" activeCell="B1" sqref="B1"/>
    </sheetView>
  </sheetViews>
  <sheetFormatPr defaultColWidth="8.7265625" defaultRowHeight="14.5" outlineLevelRow="1" x14ac:dyDescent="0.35"/>
  <cols>
    <col min="1" max="1" width="8.26953125" style="1" bestFit="1" customWidth="1"/>
    <col min="2" max="2" width="18.54296875" style="1" customWidth="1"/>
    <col min="3" max="3" width="17.26953125" style="1" bestFit="1" customWidth="1"/>
    <col min="4" max="4" width="17.7265625" style="1" customWidth="1"/>
    <col min="5" max="5" width="42.1796875" style="1" customWidth="1"/>
    <col min="6" max="6" width="35.26953125" style="1" customWidth="1"/>
    <col min="7" max="7" width="22.1796875" style="1" customWidth="1"/>
    <col min="8" max="8" width="22.26953125" style="1" customWidth="1"/>
    <col min="9" max="9" width="23.54296875" style="1" customWidth="1"/>
    <col min="10" max="10" width="18.54296875" style="1" customWidth="1"/>
    <col min="11" max="11" width="20" style="1" bestFit="1" customWidth="1"/>
    <col min="12" max="12" width="21" style="1" bestFit="1" customWidth="1"/>
    <col min="13" max="16384" width="8.7265625" style="1"/>
  </cols>
  <sheetData>
    <row r="1" spans="1:11" ht="15.5" x14ac:dyDescent="0.35">
      <c r="B1" s="4">
        <v>43194</v>
      </c>
      <c r="C1" s="4"/>
      <c r="E1" s="5" t="s">
        <v>18</v>
      </c>
      <c r="F1" s="5" t="s">
        <v>19</v>
      </c>
      <c r="G1" s="5" t="s">
        <v>21</v>
      </c>
      <c r="H1" s="5" t="s">
        <v>20</v>
      </c>
      <c r="I1" s="3"/>
    </row>
    <row r="2" spans="1:11" x14ac:dyDescent="0.35">
      <c r="E2" s="6">
        <f>PREV_USD_USD+PREV_EUR_USD+PREV_GBP_USD+PREV_CHF_USD</f>
        <v>249362.15499999997</v>
      </c>
      <c r="F2" s="6">
        <f>ACTIVITY_USD_USD+ACTIVITY_EUR_USD+ACTIVITY_GBP_USD+ACTIVITY_CHF_USD</f>
        <v>-739222.67890000006</v>
      </c>
      <c r="G2" s="6">
        <f>RATE_EUR_USD+RATE_GBP_USD+RATE_CHF_USD</f>
        <v>-1473.095500000014</v>
      </c>
      <c r="H2" s="6">
        <f>BALANCE_USD_USD+BALANCE_EUR_USD+BALANCE_GBP_USD+BALANCE_CHF_USD</f>
        <v>-491333.61940000003</v>
      </c>
      <c r="I2" s="3"/>
    </row>
    <row r="3" spans="1:11" customFormat="1" hidden="1" x14ac:dyDescent="0.35">
      <c r="A3" s="1"/>
      <c r="B3" s="1"/>
      <c r="C3" s="1"/>
      <c r="D3" s="30" t="s">
        <v>3</v>
      </c>
      <c r="E3" s="25">
        <f>PREV_USD</f>
        <v>51352.54</v>
      </c>
      <c r="F3" s="25">
        <f>ACTIVITY_USD</f>
        <v>-49407.49</v>
      </c>
      <c r="G3" s="25">
        <v>0</v>
      </c>
      <c r="H3" s="25">
        <f>BALANCE_USD</f>
        <v>1945.05</v>
      </c>
      <c r="I3" s="1"/>
      <c r="J3" s="1"/>
      <c r="K3" s="1"/>
    </row>
    <row r="4" spans="1:11" hidden="1" x14ac:dyDescent="0.35">
      <c r="C4" s="24">
        <v>1.2</v>
      </c>
      <c r="D4" s="26" t="s">
        <v>2</v>
      </c>
      <c r="E4" s="27">
        <f>PREV_EUR*EUR_RATE_P</f>
        <v>3123.4560000000001</v>
      </c>
      <c r="F4" s="27">
        <f>ACTIVITY_EUR*EUR_RATE</f>
        <v>-517197.06390000001</v>
      </c>
      <c r="G4" s="27">
        <f>BALANCE_EUR_USD-(PREV_EUR_USD+ACTIVITY_EUR_USD)</f>
        <v>26.028799999970943</v>
      </c>
      <c r="H4" s="27">
        <f>BALANCE_EUR*EUR_RATE</f>
        <v>-514047.57910000003</v>
      </c>
      <c r="I4" s="24">
        <v>1.21</v>
      </c>
    </row>
    <row r="5" spans="1:11" hidden="1" x14ac:dyDescent="0.35">
      <c r="C5" s="24">
        <v>1.3</v>
      </c>
      <c r="D5" s="28" t="s">
        <v>4</v>
      </c>
      <c r="E5" s="29">
        <f>PREV_GBP*GBP_RATE_P</f>
        <v>194886.15899999999</v>
      </c>
      <c r="F5" s="29">
        <f>ACTIVITY_GBP*GBP_RATE</f>
        <v>-172618.125</v>
      </c>
      <c r="G5" s="29">
        <f>BALANCE_GBP_USD-(PREV_GBP_USD+ACTIVITY_GBP_USD)</f>
        <v>-1499.1242999999849</v>
      </c>
      <c r="H5" s="29">
        <f>BALANCE_GBP*GBP_RATE</f>
        <v>20768.9097</v>
      </c>
      <c r="I5" s="24">
        <v>1.29</v>
      </c>
    </row>
    <row r="6" spans="1:11" hidden="1" x14ac:dyDescent="0.35">
      <c r="C6" s="24">
        <v>1.04</v>
      </c>
      <c r="D6" s="31" t="s">
        <v>1</v>
      </c>
      <c r="E6" s="32">
        <f>PREV_CHF*CHF_RATE_P</f>
        <v>0</v>
      </c>
      <c r="F6" s="32">
        <f>ACTIVITY_CHF*CHF_RATE</f>
        <v>0</v>
      </c>
      <c r="G6" s="32">
        <f>BALANCE_CHF_USD-(PREV_CHF_USD+ACTIVITY_CHF_USD)</f>
        <v>0</v>
      </c>
      <c r="H6" s="32">
        <f>BALANCE_CHF*CHF_RATE</f>
        <v>0</v>
      </c>
      <c r="I6" s="24">
        <v>1.05</v>
      </c>
    </row>
    <row r="7" spans="1:11" hidden="1" x14ac:dyDescent="0.35">
      <c r="D7" s="47" t="s">
        <v>45</v>
      </c>
      <c r="I7" s="24">
        <v>0.27225700000000003</v>
      </c>
    </row>
    <row r="8" spans="1:11" customFormat="1" hidden="1" x14ac:dyDescent="0.35">
      <c r="G8" s="1"/>
      <c r="H8" s="1"/>
      <c r="I8" s="1"/>
    </row>
    <row r="9" spans="1:11" x14ac:dyDescent="0.35">
      <c r="B9" s="2"/>
      <c r="C9" s="3"/>
      <c r="D9"/>
      <c r="E9" s="3"/>
      <c r="F9" s="3"/>
    </row>
    <row r="10" spans="1:11" x14ac:dyDescent="0.35">
      <c r="B10" s="2"/>
      <c r="C10" s="3"/>
      <c r="D10"/>
      <c r="E10" s="3"/>
      <c r="F10" s="3"/>
    </row>
    <row r="11" spans="1:11" x14ac:dyDescent="0.35">
      <c r="E11" s="43" t="s">
        <v>8</v>
      </c>
      <c r="F11" s="43" t="s">
        <v>9</v>
      </c>
      <c r="G11" s="43" t="s">
        <v>10</v>
      </c>
      <c r="H11" s="44" t="s">
        <v>11</v>
      </c>
      <c r="I11" s="44" t="s">
        <v>12</v>
      </c>
    </row>
    <row r="12" spans="1:11" x14ac:dyDescent="0.35">
      <c r="E12" s="6">
        <f>SUMIFS(MsDailyTable[PREVIOUS],MsDailyTable[Currency],USD_NAME)</f>
        <v>51352.54</v>
      </c>
      <c r="F12" s="6">
        <f>BALANCE_USD-PREV_USD</f>
        <v>-49407.49</v>
      </c>
      <c r="G12" s="6">
        <f>SUMIFS(MsDailyTable[BALANCE],MsDailyTable[Currency],USD_NAME)</f>
        <v>1945.05</v>
      </c>
      <c r="H12" s="7"/>
      <c r="I12" s="8">
        <f>BALANCE_USD+H12</f>
        <v>1945.05</v>
      </c>
    </row>
    <row r="13" spans="1:11" x14ac:dyDescent="0.35">
      <c r="E13" s="9">
        <f>SUMIFS(MsDailyTable[PREVIOUS],MsDailyTable[Currency],EUR_NAME)</f>
        <v>2602.88</v>
      </c>
      <c r="F13" s="10">
        <f>BALANCE_EUR-PREV_EUR</f>
        <v>-427435.59</v>
      </c>
      <c r="G13" s="11">
        <f>SUMIFS(MsDailyTable[BALANCE],MsDailyTable[Currency],EUR_NAME)</f>
        <v>-424832.71</v>
      </c>
      <c r="H13" s="12"/>
      <c r="I13" s="13">
        <f>BALANCE_EUR+H13</f>
        <v>-424832.71</v>
      </c>
    </row>
    <row r="14" spans="1:11" x14ac:dyDescent="0.35">
      <c r="E14" s="37">
        <f>SUMIFS(MsDailyTable[PREVIOUS],MsDailyTable[Currency],GBP_NAME)</f>
        <v>149912.43</v>
      </c>
      <c r="F14" s="38">
        <f>BALANCE_GBP-PREV_GBP</f>
        <v>-133812.5</v>
      </c>
      <c r="G14" s="37">
        <f>SUMIFS(MsDailyTable[BALANCE],MsDailyTable[Currency],GBP_NAME)</f>
        <v>16099.93</v>
      </c>
      <c r="H14" s="14"/>
      <c r="I14" s="15">
        <f>BALANCE_GBP+H14</f>
        <v>16099.93</v>
      </c>
    </row>
    <row r="15" spans="1:11" x14ac:dyDescent="0.35">
      <c r="E15" s="39">
        <f>SUMIFS(MsDailyTable[PREVIOUS],MsDailyTable[Currency],CHF_NAME)</f>
        <v>0</v>
      </c>
      <c r="F15" s="39">
        <f>BALANCE_CHF-PREV_CHF</f>
        <v>0</v>
      </c>
      <c r="G15" s="39">
        <f>SUMIFS(MsDailyTable[BALANCE],MsDailyTable[Currency],CHF_NAME)</f>
        <v>0</v>
      </c>
      <c r="I15" s="16"/>
    </row>
    <row r="16" spans="1:11" customFormat="1" x14ac:dyDescent="0.35"/>
    <row r="17" spans="2:12" customFormat="1" outlineLevel="1" x14ac:dyDescent="0.35">
      <c r="B17" s="5" t="s">
        <v>31</v>
      </c>
      <c r="C17" s="5" t="s">
        <v>32</v>
      </c>
      <c r="D17" s="5" t="s">
        <v>41</v>
      </c>
      <c r="F17" s="1"/>
      <c r="G17" s="1"/>
      <c r="H17" s="1"/>
      <c r="J17" s="5" t="s">
        <v>34</v>
      </c>
      <c r="K17" s="5" t="s">
        <v>32</v>
      </c>
      <c r="L17" s="5" t="s">
        <v>42</v>
      </c>
    </row>
    <row r="18" spans="2:12" customFormat="1" outlineLevel="1" x14ac:dyDescent="0.35">
      <c r="B18" s="6">
        <f>USD_REPORT+EUR_REPORT*EUR_RATE+GBP_REPORT*GBP_RATE+CHF_REPORT*CHF_RATE</f>
        <v>-315899.57899999997</v>
      </c>
      <c r="C18" s="6">
        <f>USD_REPORTFILE+EUR_REPORTFILE*EUR_RATE+GBP_REPORTFILE*GBP_RATE+CHF_REPORTFILE*CHF_RATE</f>
        <v>0</v>
      </c>
      <c r="D18" s="6">
        <f>ALL_REPORT-ALL_REPORTFILE</f>
        <v>-315899.57899999997</v>
      </c>
      <c r="F18" s="1"/>
      <c r="G18" s="1"/>
      <c r="H18" s="1"/>
      <c r="J18" s="6">
        <f>USD_PMRQ+EUR_PMRQ*EUR_RATE+GBP_PMRQ*GBP_RATE+CHF_PMRQ*CHF_RATE</f>
        <v>101.05</v>
      </c>
      <c r="K18" s="6">
        <f>USD_PMRQFILE+EUR_PMRQFILE*EUR_RATE+GBP_PMRQFILE*GBP_RATE+CHF_PMRQFILE*CHF_RATE+AED_PMRQFILE*AED_RATE</f>
        <v>0</v>
      </c>
      <c r="L18" s="6">
        <f>ALL_PMRQ-ALL_PMRQFILE</f>
        <v>101.05</v>
      </c>
    </row>
    <row r="19" spans="2:12" customFormat="1" outlineLevel="1" x14ac:dyDescent="0.35">
      <c r="B19" s="43" t="s">
        <v>24</v>
      </c>
      <c r="C19" s="43" t="s">
        <v>33</v>
      </c>
      <c r="D19" s="43" t="s">
        <v>43</v>
      </c>
      <c r="F19" s="1"/>
      <c r="G19" s="1"/>
      <c r="H19" s="1"/>
      <c r="J19" s="43" t="s">
        <v>25</v>
      </c>
      <c r="K19" s="43" t="s">
        <v>33</v>
      </c>
      <c r="L19" s="43" t="s">
        <v>44</v>
      </c>
    </row>
    <row r="20" spans="2:12" customFormat="1" outlineLevel="1" x14ac:dyDescent="0.35">
      <c r="B20" s="6">
        <f>SUMIFS(MsDailyTable[Debit/Credit],MsDailyTable[Currency],USD_NAME,MsDailyTable[Report],"&lt;&gt;")</f>
        <v>0</v>
      </c>
      <c r="C20" s="6">
        <f>SUMIFS(Activity[Total],Activity[Currency],USD_NAME,Activity[Regulated],FALSE)</f>
        <v>0</v>
      </c>
      <c r="D20" s="6">
        <f>USD_REPORT-USD_REPORTFILE</f>
        <v>0</v>
      </c>
      <c r="F20" s="1"/>
      <c r="G20" s="1"/>
      <c r="H20" s="1"/>
      <c r="J20" s="6">
        <f>SUMIFS(MsDailyTable[Debit/Credit],MsDailyTable[Currency],USD_NAME,MsDailyTable[PMRQ],"&lt;&gt;")</f>
        <v>100</v>
      </c>
      <c r="K20" s="6">
        <f>-1*IF(DTE="",SUMIFS(PMRQ[SUM],PMRQ[Cur],USD_NAME,PMRQ[Date],DTB),SUMIFS(PMRQ[SUM],PMRQ[Cur],USD_NAME,PMRQ[Date],"&gt;="&amp;DTB,PMRQ[Date],"&lt;="&amp;DTE))</f>
        <v>0</v>
      </c>
      <c r="L20" s="6">
        <f>USD_PMRQ-USD_PMRQFILE</f>
        <v>100</v>
      </c>
    </row>
    <row r="21" spans="2:12" customFormat="1" outlineLevel="1" x14ac:dyDescent="0.35">
      <c r="B21" s="9">
        <f>SUMIFS(MsDailyTable[Debit/Credit],MsDailyTable[Currency],EUR_NAME,MsDailyTable[Report],"&lt;&gt;")</f>
        <v>-261074.9</v>
      </c>
      <c r="C21" s="9">
        <f>SUMIFS(Activity[Total],Activity[Currency],EUR_NAME,Activity[Regulated],FALSE)</f>
        <v>0</v>
      </c>
      <c r="D21" s="9">
        <f>EUR_REPORT-EUR_REPORTFILE</f>
        <v>-261074.9</v>
      </c>
      <c r="F21" s="1"/>
      <c r="G21" s="1"/>
      <c r="H21" s="1"/>
      <c r="J21" s="9">
        <f>SUMIFS(MsDailyTable[Debit/Credit],MsDailyTable[Currency],EUR_NAME,MsDailyTable[PMRQ],"&lt;&gt;")</f>
        <v>0</v>
      </c>
      <c r="K21" s="9">
        <f>-1*IF(DTE="",SUMIFS(PMRQ[SUM],PMRQ[Cur],EUR_NAME,PMRQ[Date],DTB),SUMIFS(PMRQ[SUM],PMRQ[Cur],EUR_NAME,PMRQ[Date],"&gt;="&amp;DTB,PMRQ[Date],"&lt;="&amp;DTE))</f>
        <v>0</v>
      </c>
      <c r="L21" s="9">
        <f>EUR_PMRQ-EUR_PMRQFILE</f>
        <v>0</v>
      </c>
    </row>
    <row r="22" spans="2:12" customFormat="1" outlineLevel="1" x14ac:dyDescent="0.35">
      <c r="B22" s="37">
        <f>SUMIFS(MsDailyTable[Debit/Credit],MsDailyTable[Currency],GBP_NAME,MsDailyTable[Report],"&lt;&gt;")</f>
        <v>0</v>
      </c>
      <c r="C22" s="37">
        <f>SUMIFS(Activity[Total],Activity[Currency],GBP_NAME,Activity[Regulated],FALSE)</f>
        <v>0</v>
      </c>
      <c r="D22" s="37">
        <f>GBP_REPORT-GBP_REPORTFILE</f>
        <v>0</v>
      </c>
      <c r="F22" s="1"/>
      <c r="G22" s="1"/>
      <c r="H22" s="1"/>
      <c r="J22" s="37">
        <f>SUMIFS(MsDailyTable[Debit/Credit],MsDailyTable[Currency],GBP_NAME,MsDailyTable[PMRQ],"&lt;&gt;")</f>
        <v>0</v>
      </c>
      <c r="K22" s="37">
        <f>-1*IF(DTE="",SUMIFS(PMRQ[SUM],PMRQ[Cur],GBP_NAME,PMRQ[Date],DTB),SUMIFS(PMRQ[SUM],PMRQ[Cur],GBP_NAME,PMRQ[Date],"&gt;="&amp;DTB,PMRQ[Date],"&lt;="&amp;DTE))</f>
        <v>0</v>
      </c>
      <c r="L22" s="37">
        <f>GBP_PMRQ-GBP_PMRQFILE</f>
        <v>0</v>
      </c>
    </row>
    <row r="23" spans="2:12" customFormat="1" outlineLevel="1" x14ac:dyDescent="0.35">
      <c r="B23" s="39">
        <f>SUMIFS(MsDailyTable[Debit/Credit],MsDailyTable[Currency],CHF_NAME,MsDailyTable[Report],"&lt;&gt;")</f>
        <v>1</v>
      </c>
      <c r="C23" s="39">
        <f>SUMIFS(Activity[Total],Activity[Currency],CHF_NAME,Activity[Regulated],FALSE)</f>
        <v>0</v>
      </c>
      <c r="D23" s="39">
        <f>CHF_REPORT-CHF_REPORTFILE</f>
        <v>1</v>
      </c>
      <c r="F23" s="1"/>
      <c r="G23" s="1"/>
      <c r="H23" s="1"/>
      <c r="J23" s="39">
        <f>SUMIFS(MsDailyTable[Debit/Credit],MsDailyTable[Currency],CHF_NAME,MsDailyTable[PMRQ],"&lt;&gt;")</f>
        <v>1</v>
      </c>
      <c r="K23" s="39">
        <f>-1*IF(DTE="",SUMIFS(PMRQ[SUM],PMRQ[Cur],CHF_NAME,PMRQ[Date],DTB),SUMIFS(PMRQ[SUM],PMRQ[Cur],CHF_NAME,PMRQ[Date],"&gt;="&amp;DTB,PMRQ[Date],"&lt;="&amp;DTE))</f>
        <v>0</v>
      </c>
      <c r="L23" s="39">
        <f>CHF_PMRQ-CHF_PMRQFILE</f>
        <v>1</v>
      </c>
    </row>
    <row r="24" spans="2:12" customFormat="1" outlineLevel="1" x14ac:dyDescent="0.35">
      <c r="F24" s="1"/>
      <c r="G24" s="1"/>
      <c r="H24" s="1"/>
      <c r="J24" s="45"/>
      <c r="K24" s="46">
        <f>-1*IF(DTE="",SUMIFS(PMRQ[SUM],PMRQ[Cur],AED_NAME,PMRQ[Date],DTB),SUMIFS(PMRQ[SUM],PMRQ[Cur],AED_NAME,PMRQ[Date],"&gt;="&amp;DTB,PMRQ[Date],"&lt;="&amp;DTE))</f>
        <v>0</v>
      </c>
      <c r="L24" s="45"/>
    </row>
    <row r="26" spans="2:12" ht="23.25" customHeight="1" x14ac:dyDescent="0.35">
      <c r="B26" s="21" t="s">
        <v>8</v>
      </c>
      <c r="C26" s="22" t="s">
        <v>17</v>
      </c>
      <c r="D26" s="22" t="s">
        <v>0</v>
      </c>
      <c r="E26" s="22" t="s">
        <v>6</v>
      </c>
      <c r="F26" s="22" t="s">
        <v>5</v>
      </c>
      <c r="G26" s="22" t="s">
        <v>23</v>
      </c>
      <c r="H26" s="22" t="s">
        <v>22</v>
      </c>
      <c r="I26" s="21" t="s">
        <v>16</v>
      </c>
      <c r="J26" s="21" t="s">
        <v>10</v>
      </c>
      <c r="K26" s="33" t="s">
        <v>24</v>
      </c>
      <c r="L26" s="33" t="s">
        <v>25</v>
      </c>
    </row>
    <row r="27" spans="2:12" ht="18.5" x14ac:dyDescent="0.45">
      <c r="B27" s="20">
        <v>0</v>
      </c>
      <c r="C27" s="17" t="s">
        <v>13</v>
      </c>
      <c r="D27" s="23" t="s">
        <v>2</v>
      </c>
      <c r="E27" s="18"/>
      <c r="F27" s="35"/>
      <c r="G27" s="19">
        <v>-261074.9</v>
      </c>
      <c r="H27" s="19"/>
      <c r="I27" s="20">
        <v>-427044.12</v>
      </c>
      <c r="J27" s="34">
        <v>-427044.12</v>
      </c>
      <c r="K27" s="36" t="s">
        <v>26</v>
      </c>
      <c r="L27" s="23"/>
    </row>
    <row r="28" spans="2:12" ht="18.5" x14ac:dyDescent="0.45">
      <c r="B28" s="20">
        <v>0</v>
      </c>
      <c r="C28" s="17" t="s">
        <v>13</v>
      </c>
      <c r="D28" s="23" t="s">
        <v>4</v>
      </c>
      <c r="E28" s="18"/>
      <c r="F28" s="35"/>
      <c r="G28" s="19">
        <v>1654.14</v>
      </c>
      <c r="H28" s="19"/>
      <c r="I28" s="20">
        <v>335.28</v>
      </c>
      <c r="J28" s="34">
        <v>335.28</v>
      </c>
      <c r="K28" s="23"/>
      <c r="L28" s="23"/>
    </row>
    <row r="29" spans="2:12" ht="18.5" x14ac:dyDescent="0.45">
      <c r="B29" s="20">
        <v>0</v>
      </c>
      <c r="C29" s="17" t="s">
        <v>13</v>
      </c>
      <c r="D29" s="23" t="s">
        <v>1</v>
      </c>
      <c r="E29" s="18"/>
      <c r="F29" s="35"/>
      <c r="G29" s="19">
        <v>1</v>
      </c>
      <c r="H29" s="19"/>
      <c r="I29" s="20">
        <v>0</v>
      </c>
      <c r="J29" s="34">
        <v>0</v>
      </c>
      <c r="K29" s="36" t="s">
        <v>27</v>
      </c>
      <c r="L29" s="36">
        <v>88</v>
      </c>
    </row>
    <row r="30" spans="2:12" ht="18.5" x14ac:dyDescent="0.45">
      <c r="B30" s="20"/>
      <c r="C30" s="17"/>
      <c r="D30" s="23"/>
      <c r="E30" s="18"/>
      <c r="F30" s="35"/>
      <c r="G30" s="19"/>
      <c r="H30" s="19"/>
      <c r="I30" s="20"/>
      <c r="J30" s="34"/>
      <c r="K30" s="23"/>
      <c r="L30" s="23"/>
    </row>
    <row r="31" spans="2:12" ht="18.5" x14ac:dyDescent="0.45">
      <c r="B31" s="20">
        <v>149912.43</v>
      </c>
      <c r="C31" s="17" t="s">
        <v>14</v>
      </c>
      <c r="D31" s="23" t="s">
        <v>4</v>
      </c>
      <c r="E31" s="18"/>
      <c r="F31" s="35"/>
      <c r="G31" s="19">
        <v>-495</v>
      </c>
      <c r="H31" s="19"/>
      <c r="I31" s="20">
        <v>2852.22</v>
      </c>
      <c r="J31" s="34">
        <v>15764.65</v>
      </c>
      <c r="K31" s="23"/>
      <c r="L31" s="23"/>
    </row>
    <row r="32" spans="2:12" ht="18.5" x14ac:dyDescent="0.45">
      <c r="B32" s="20"/>
      <c r="C32" s="17"/>
      <c r="D32" s="23"/>
      <c r="E32" s="18"/>
      <c r="F32" s="35"/>
      <c r="G32" s="19"/>
      <c r="H32" s="19"/>
      <c r="I32" s="20"/>
      <c r="J32" s="34"/>
      <c r="K32" s="23"/>
      <c r="L32" s="23"/>
    </row>
    <row r="33" spans="2:12" ht="18.5" x14ac:dyDescent="0.45">
      <c r="B33" s="20">
        <v>51352.54</v>
      </c>
      <c r="C33" s="17" t="s">
        <v>15</v>
      </c>
      <c r="D33" s="23" t="s">
        <v>3</v>
      </c>
      <c r="E33" s="18"/>
      <c r="F33" s="35" t="s">
        <v>7</v>
      </c>
      <c r="G33" s="19">
        <v>100</v>
      </c>
      <c r="H33" s="19"/>
      <c r="I33" s="20">
        <v>-49407.49</v>
      </c>
      <c r="J33" s="34">
        <v>1945.05</v>
      </c>
      <c r="K33" s="36"/>
      <c r="L33" s="23">
        <v>55</v>
      </c>
    </row>
    <row r="34" spans="2:12" ht="18.5" x14ac:dyDescent="0.45">
      <c r="B34" s="20">
        <v>2602.88</v>
      </c>
      <c r="C34" s="17" t="s">
        <v>15</v>
      </c>
      <c r="D34" s="23" t="s">
        <v>2</v>
      </c>
      <c r="E34" s="18"/>
      <c r="F34" s="35" t="s">
        <v>7</v>
      </c>
      <c r="G34" s="19">
        <v>161796.53</v>
      </c>
      <c r="H34" s="19"/>
      <c r="I34" s="20">
        <v>-391.47</v>
      </c>
      <c r="J34" s="34">
        <v>2211.41</v>
      </c>
      <c r="K34" s="23"/>
      <c r="L34" s="23"/>
    </row>
    <row r="35" spans="2:12" ht="18.5" x14ac:dyDescent="0.45">
      <c r="B35" s="20">
        <v>0</v>
      </c>
      <c r="C35" s="17" t="s">
        <v>15</v>
      </c>
      <c r="D35" s="23" t="s">
        <v>1</v>
      </c>
      <c r="E35" s="18"/>
      <c r="F35" s="35" t="s">
        <v>7</v>
      </c>
      <c r="G35" s="19"/>
      <c r="H35" s="19"/>
      <c r="I35" s="20">
        <v>0</v>
      </c>
      <c r="J35" s="34">
        <v>0</v>
      </c>
      <c r="K35" s="23"/>
      <c r="L35" s="23"/>
    </row>
  </sheetData>
  <conditionalFormatting sqref="B27:L35 D3">
    <cfRule type="expression" dxfId="21" priority="6">
      <formula>$D3=""</formula>
    </cfRule>
    <cfRule type="expression" dxfId="20" priority="7">
      <formula>$D3="CHF"</formula>
    </cfRule>
    <cfRule type="expression" dxfId="19" priority="8">
      <formula>$D3="GBP"</formula>
    </cfRule>
    <cfRule type="expression" dxfId="18" priority="9">
      <formula>$D3="EUR"</formula>
    </cfRule>
    <cfRule type="expression" dxfId="17" priority="10">
      <formula>$D3="USD"</formula>
    </cfRule>
  </conditionalFormatting>
  <pageMargins left="0.25" right="0.25" top="0.75" bottom="0.75" header="0.3" footer="0.3"/>
  <pageSetup paperSize="9" scale="54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3"/>
  <sheetViews>
    <sheetView workbookViewId="0">
      <selection activeCell="E3" sqref="E3"/>
    </sheetView>
  </sheetViews>
  <sheetFormatPr defaultRowHeight="14.5" x14ac:dyDescent="0.35"/>
  <cols>
    <col min="2" max="2" width="10.1796875" bestFit="1" customWidth="1"/>
    <col min="3" max="3" width="9.81640625" bestFit="1" customWidth="1"/>
    <col min="4" max="4" width="13.453125" bestFit="1" customWidth="1"/>
    <col min="5" max="5" width="10.1796875" bestFit="1" customWidth="1"/>
    <col min="6" max="6" width="14.54296875" bestFit="1" customWidth="1"/>
  </cols>
  <sheetData>
    <row r="2" spans="2:6" x14ac:dyDescent="0.35">
      <c r="B2" s="40" t="s">
        <v>28</v>
      </c>
      <c r="C2" s="40" t="s">
        <v>17</v>
      </c>
      <c r="D2" s="40" t="s">
        <v>0</v>
      </c>
      <c r="E2" s="40" t="s">
        <v>29</v>
      </c>
      <c r="F2" s="40" t="s">
        <v>30</v>
      </c>
    </row>
    <row r="3" spans="2:6" x14ac:dyDescent="0.35">
      <c r="B3" s="41"/>
      <c r="E3" s="4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J3"/>
  <sheetViews>
    <sheetView workbookViewId="0"/>
  </sheetViews>
  <sheetFormatPr defaultRowHeight="14.5" x14ac:dyDescent="0.35"/>
  <cols>
    <col min="3" max="3" width="10.1796875" bestFit="1" customWidth="1"/>
    <col min="5" max="5" width="10.26953125" customWidth="1"/>
    <col min="7" max="7" width="16" customWidth="1"/>
    <col min="8" max="8" width="46.54296875" customWidth="1"/>
    <col min="9" max="9" width="63.26953125" customWidth="1"/>
    <col min="10" max="10" width="14.54296875" customWidth="1"/>
  </cols>
  <sheetData>
    <row r="2" spans="2:10" x14ac:dyDescent="0.35">
      <c r="B2" t="s">
        <v>35</v>
      </c>
      <c r="C2" t="s">
        <v>28</v>
      </c>
      <c r="D2" t="s">
        <v>17</v>
      </c>
      <c r="E2" t="s">
        <v>36</v>
      </c>
      <c r="F2" t="s">
        <v>37</v>
      </c>
      <c r="G2" t="s">
        <v>38</v>
      </c>
      <c r="H2" t="s">
        <v>39</v>
      </c>
      <c r="I2" t="s">
        <v>5</v>
      </c>
      <c r="J2" t="s">
        <v>40</v>
      </c>
    </row>
    <row r="3" spans="2:10" x14ac:dyDescent="0.35">
      <c r="C3" s="41"/>
      <c r="G3" s="4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68</vt:i4>
      </vt:variant>
    </vt:vector>
  </HeadingPairs>
  <TitlesOfParts>
    <vt:vector size="71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CHF_DELTA_REPORT</vt:lpstr>
      <vt:lpstr>CHF_NAME</vt:lpstr>
      <vt:lpstr>CHF_PMRQ</vt:lpstr>
      <vt:lpstr>CHF_PMRQFILE</vt:lpstr>
      <vt:lpstr>CHF_RATE</vt:lpstr>
      <vt:lpstr>CHF_RATE_P</vt:lpstr>
      <vt:lpstr>CHF_REPORT</vt:lpstr>
      <vt:lpstr>CHF_REPORTFILE</vt:lpstr>
      <vt:lpstr>DELTA_PMRQ</vt:lpstr>
      <vt:lpstr>DELTA_REPORT</vt:lpstr>
      <vt:lpstr>DTB</vt:lpstr>
      <vt:lpstr>DTE</vt:lpstr>
      <vt:lpstr>EUR_DELTA_REPORT</vt:lpstr>
      <vt:lpstr>EUR_NAME</vt:lpstr>
      <vt:lpstr>EUR_PMRQ</vt:lpstr>
      <vt:lpstr>EUR_PMRQFILE</vt:lpstr>
      <vt:lpstr>EUR_RATE</vt:lpstr>
      <vt:lpstr>EUR_RATE_P</vt:lpstr>
      <vt:lpstr>EUR_REPORT</vt:lpstr>
      <vt:lpstr>EUR_REPORTFILE</vt:lpstr>
      <vt:lpstr>GBP_DELTA_REPORT</vt:lpstr>
      <vt:lpstr>GBP_NAME</vt:lpstr>
      <vt:lpstr>GBP_PMRQ</vt:lpstr>
      <vt:lpstr>GBP_PMRQFILE</vt:lpstr>
      <vt:lpstr>GBP_RATE</vt:lpstr>
      <vt:lpstr>GBP_RATE_P</vt:lpstr>
      <vt:lpstr>GBP_REPORT</vt:lpstr>
      <vt:lpstr>GBP_REPORTFILE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USD_DELTA_REPORT</vt:lpstr>
      <vt:lpstr>USD_NAME</vt:lpstr>
      <vt:lpstr>USD_PMRQ</vt:lpstr>
      <vt:lpstr>USD_PMRQFILE</vt:lpstr>
      <vt:lpstr>USD_REPORT</vt:lpstr>
      <vt:lpstr>USD_REPORTFILE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2018-04-17T05:14:21Z</dcterms:modified>
</cp:coreProperties>
</file>